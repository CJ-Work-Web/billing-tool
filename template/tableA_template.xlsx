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192.168.1.2\tai管理部資料2\晟晁2\房屋\07捷運局房屋代管\3.捷運局代管合約\捷運代管請款\11503\"/>
    </mc:Choice>
  </mc:AlternateContent>
  <xr:revisionPtr revIDLastSave="0" documentId="13_ncr:1_{3D255099-DAEB-4412-92FA-12798B7A895E}" xr6:coauthVersionLast="47" xr6:coauthVersionMax="47" xr10:uidLastSave="{00000000-0000-0000-0000-000000000000}"/>
  <bookViews>
    <workbookView xWindow="-108" yWindow="-108" windowWidth="23256" windowHeight="12576" xr2:uid="{00000000-000D-0000-FFFF-FFFF00000000}"/>
  </bookViews>
  <sheets>
    <sheet name="115.03" sheetId="60" r:id="rId1"/>
    <sheet name="115.02" sheetId="59" r:id="rId2"/>
    <sheet name="115.01" sheetId="58" r:id="rId3"/>
    <sheet name="114.12" sheetId="57" r:id="rId4"/>
    <sheet name="114.11" sheetId="56" r:id="rId5"/>
    <sheet name="114.10" sheetId="55" r:id="rId6"/>
    <sheet name="114.09" sheetId="54" r:id="rId7"/>
    <sheet name="114.08" sheetId="53" r:id="rId8"/>
    <sheet name="114.07" sheetId="52" r:id="rId9"/>
    <sheet name="114.06" sheetId="51" r:id="rId10"/>
    <sheet name="114.05" sheetId="50" r:id="rId11"/>
    <sheet name="114.04" sheetId="49" r:id="rId12"/>
    <sheet name="114.03" sheetId="48" r:id="rId13"/>
    <sheet name="114.02" sheetId="47" r:id="rId14"/>
    <sheet name="114.01" sheetId="46" r:id="rId15"/>
    <sheet name="113.12" sheetId="45" r:id="rId16"/>
    <sheet name="113.10" sheetId="44" r:id="rId17"/>
    <sheet name="113.09" sheetId="43" r:id="rId18"/>
    <sheet name="113.08" sheetId="42" r:id="rId19"/>
    <sheet name="113.07" sheetId="41" r:id="rId20"/>
    <sheet name="113.06" sheetId="40" r:id="rId21"/>
    <sheet name="113.05" sheetId="39" r:id="rId22"/>
    <sheet name="113.04" sheetId="38" r:id="rId23"/>
    <sheet name="113.03" sheetId="37" r:id="rId24"/>
    <sheet name="113.02" sheetId="36" r:id="rId25"/>
    <sheet name="113.01" sheetId="35" r:id="rId26"/>
    <sheet name="112.12" sheetId="34" r:id="rId27"/>
    <sheet name="112.11" sheetId="32" r:id="rId28"/>
    <sheet name="112.10" sheetId="31" r:id="rId29"/>
    <sheet name="112.09" sheetId="30" r:id="rId30"/>
    <sheet name="112.08月" sheetId="29" r:id="rId31"/>
    <sheet name="112.07月" sheetId="28" r:id="rId32"/>
    <sheet name="112.06月" sheetId="27" r:id="rId33"/>
    <sheet name="112.05月" sheetId="26" r:id="rId34"/>
    <sheet name="112.04月" sheetId="25" r:id="rId35"/>
    <sheet name="112.03月" sheetId="24" r:id="rId36"/>
    <sheet name="112.02月" sheetId="23" r:id="rId37"/>
    <sheet name="112.01月" sheetId="22" r:id="rId38"/>
    <sheet name="111.12月" sheetId="21" r:id="rId39"/>
    <sheet name="111.11月" sheetId="20" r:id="rId40"/>
    <sheet name="111.10月" sheetId="19" r:id="rId41"/>
    <sheet name="111.09月" sheetId="18" r:id="rId42"/>
    <sheet name="111.08月" sheetId="17" r:id="rId43"/>
    <sheet name="111.07月" sheetId="16" r:id="rId44"/>
    <sheet name="111.06月" sheetId="15" r:id="rId45"/>
    <sheet name="111.05月" sheetId="14" r:id="rId46"/>
    <sheet name="111.04月" sheetId="13" r:id="rId47"/>
    <sheet name="111.03月" sheetId="12" r:id="rId48"/>
    <sheet name="111.02月" sheetId="11" r:id="rId49"/>
    <sheet name="111.01月" sheetId="10" r:id="rId50"/>
    <sheet name="110.12月" sheetId="9" r:id="rId51"/>
    <sheet name="110.11月" sheetId="8" r:id="rId52"/>
    <sheet name="110.10月" sheetId="7" r:id="rId53"/>
    <sheet name="110.9月" sheetId="6" r:id="rId54"/>
    <sheet name="110.8月" sheetId="5" r:id="rId55"/>
    <sheet name="110.7月" sheetId="4" r:id="rId56"/>
    <sheet name="110.6月" sheetId="3" r:id="rId57"/>
    <sheet name="110.5月" sheetId="2" r:id="rId58"/>
  </sheets>
  <definedNames>
    <definedName name="_xlnm._FilterDatabase" localSheetId="52" hidden="1">'110.10月'!$A$3:$I$3</definedName>
    <definedName name="_xlnm._FilterDatabase" localSheetId="51" hidden="1">'110.11月'!$A$3:$I$3</definedName>
    <definedName name="_xlnm._FilterDatabase" localSheetId="50" hidden="1">'110.12月'!$A$3:$I$3</definedName>
    <definedName name="_xlnm._FilterDatabase" localSheetId="53" hidden="1">'110.9月'!$A$3:$I$3</definedName>
    <definedName name="_xlnm._FilterDatabase" localSheetId="49" hidden="1">'111.01月'!$A$3:$I$3</definedName>
    <definedName name="_xlnm._FilterDatabase" localSheetId="48" hidden="1">'111.02月'!$A$3:$I$3</definedName>
    <definedName name="_xlnm._FilterDatabase" localSheetId="47" hidden="1">'111.03月'!$A$3:$I$3</definedName>
    <definedName name="_xlnm._FilterDatabase" localSheetId="46" hidden="1">'111.04月'!$A$3:$I$3</definedName>
    <definedName name="_xlnm._FilterDatabase" localSheetId="45" hidden="1">'111.05月'!$A$3:$I$3</definedName>
    <definedName name="_xlnm._FilterDatabase" localSheetId="44" hidden="1">'111.06月'!$A$3:$I$3</definedName>
    <definedName name="_xlnm._FilterDatabase" localSheetId="43" hidden="1">'111.07月'!$A$3:$I$3</definedName>
    <definedName name="_xlnm._FilterDatabase" localSheetId="42" hidden="1">'111.08月'!$A$3:$I$3</definedName>
    <definedName name="_xlnm._FilterDatabase" localSheetId="41" hidden="1">'111.09月'!$A$3:$I$3</definedName>
    <definedName name="_xlnm._FilterDatabase" localSheetId="40" hidden="1">'111.10月'!$A$3:$I$3</definedName>
    <definedName name="_xlnm._FilterDatabase" localSheetId="39" hidden="1">'111.11月'!$A$3:$I$3</definedName>
    <definedName name="_xlnm._FilterDatabase" localSheetId="38" hidden="1">'111.12月'!$A$3:$I$3</definedName>
    <definedName name="_xlnm._FilterDatabase" localSheetId="37" hidden="1">'112.01月'!$A$3:$I$3</definedName>
    <definedName name="_xlnm._FilterDatabase" localSheetId="36" hidden="1">'112.02月'!$A$3:$I$3</definedName>
    <definedName name="_xlnm._FilterDatabase" localSheetId="35" hidden="1">'112.03月'!$A$3:$L$105</definedName>
    <definedName name="_xlnm._FilterDatabase" localSheetId="34" hidden="1">'112.04月'!$A$3:$L$33</definedName>
    <definedName name="_xlnm._FilterDatabase" localSheetId="33" hidden="1">'112.05月'!$A$3:$L$211</definedName>
    <definedName name="_xlnm._FilterDatabase" localSheetId="32" hidden="1">'112.06月'!$A$3:$K$5</definedName>
    <definedName name="_xlnm._FilterDatabase" localSheetId="31" hidden="1">'112.07月'!$A$3:$L$31</definedName>
    <definedName name="_xlnm._FilterDatabase" localSheetId="30" hidden="1">'112.08月'!$A$3:$L$32</definedName>
    <definedName name="_xlnm._FilterDatabase" localSheetId="29" hidden="1">'112.09'!$A$3:$L$25</definedName>
    <definedName name="_xlnm._FilterDatabase" localSheetId="28" hidden="1">'112.10'!$A$3:$L$11</definedName>
    <definedName name="_xlnm._FilterDatabase" localSheetId="27" hidden="1">'112.11'!$A$3:$L$30</definedName>
    <definedName name="_xlnm._FilterDatabase" localSheetId="26" hidden="1">'112.12'!$A$3:$M$112</definedName>
    <definedName name="_xlnm._FilterDatabase" localSheetId="25" hidden="1">'113.01'!$A$3:$M$32</definedName>
    <definedName name="_xlnm._FilterDatabase" localSheetId="24" hidden="1">'113.02'!$A$3:$M$13</definedName>
    <definedName name="_xlnm._FilterDatabase" localSheetId="23" hidden="1">'113.03'!$A$3:$M$19</definedName>
    <definedName name="_xlnm._FilterDatabase" localSheetId="22" hidden="1">'113.04'!$A$3:$L$31</definedName>
    <definedName name="_xlnm._FilterDatabase" localSheetId="21" hidden="1">'113.05'!$A$3:$L$31</definedName>
    <definedName name="_xlnm._FilterDatabase" localSheetId="20" hidden="1">'113.06'!$A$3:$L$11</definedName>
    <definedName name="_xlnm._FilterDatabase" localSheetId="19" hidden="1">'113.07'!$A$3:$L$22</definedName>
    <definedName name="_xlnm._FilterDatabase" localSheetId="18" hidden="1">'113.08'!$A$3:$L$51</definedName>
    <definedName name="_xlnm._FilterDatabase" localSheetId="17" hidden="1">'113.09'!$A$3:$L$25</definedName>
    <definedName name="_xlnm._FilterDatabase" localSheetId="16" hidden="1">'113.10'!$A$3:$L$11</definedName>
    <definedName name="_xlnm._FilterDatabase" localSheetId="15" hidden="1">'113.12'!$A$3:$L$15</definedName>
    <definedName name="_xlnm._FilterDatabase" localSheetId="14" hidden="1">'114.01'!$A$3:$L$6</definedName>
    <definedName name="_xlnm._FilterDatabase" localSheetId="13" hidden="1">'114.02'!$A$3:$L$9</definedName>
    <definedName name="_xlnm._FilterDatabase" localSheetId="12" hidden="1">'114.03'!$A$3:$L$12</definedName>
    <definedName name="_xlnm._FilterDatabase" localSheetId="11" hidden="1">'114.04'!$A$3:$L$16</definedName>
    <definedName name="_xlnm._FilterDatabase" localSheetId="10" hidden="1">'114.05'!$A$3:$L$5</definedName>
    <definedName name="_xlnm._FilterDatabase" localSheetId="9" hidden="1">'114.06'!$A$3:$L$19</definedName>
    <definedName name="_xlnm._FilterDatabase" localSheetId="8" hidden="1">'114.07'!$A$3:$M$12</definedName>
    <definedName name="_xlnm._FilterDatabase" localSheetId="7" hidden="1">'114.08'!$A$3:$M$19</definedName>
    <definedName name="_xlnm._FilterDatabase" localSheetId="6" hidden="1">'114.09'!$A$3:$M$19</definedName>
    <definedName name="_xlnm._FilterDatabase" localSheetId="5" hidden="1">'114.10'!$A$3:$M$22</definedName>
    <definedName name="_xlnm._FilterDatabase" localSheetId="4" hidden="1">'114.11'!$A$3:$M$7</definedName>
    <definedName name="_xlnm._FilterDatabase" localSheetId="3" hidden="1">'114.12'!$A$3:$M$41</definedName>
    <definedName name="_xlnm._FilterDatabase" localSheetId="2" hidden="1">'115.01'!$A$3:$N$10</definedName>
    <definedName name="_xlnm._FilterDatabase" localSheetId="1" hidden="1">'115.02'!$A$3:$N$26</definedName>
    <definedName name="_xlnm._FilterDatabase" localSheetId="0" hidden="1">'115.03'!$A$3:$N$3</definedName>
    <definedName name="_xlnm.Print_Area" localSheetId="52">'110.10月'!$A$1:$I$10</definedName>
    <definedName name="_xlnm.Print_Area" localSheetId="51">'110.11月'!$A$1:$I$20</definedName>
    <definedName name="_xlnm.Print_Area" localSheetId="50">'110.12月'!$A$1:$I$7</definedName>
    <definedName name="_xlnm.Print_Area" localSheetId="53">'110.9月'!$A$1:$I$11</definedName>
    <definedName name="_xlnm.Print_Area" localSheetId="49">'111.01月'!$A$1:$I$15</definedName>
    <definedName name="_xlnm.Print_Area" localSheetId="48">'111.02月'!$A$1:$I$5</definedName>
    <definedName name="_xlnm.Print_Area" localSheetId="47">'111.03月'!$A$1:$I$22</definedName>
    <definedName name="_xlnm.Print_Area" localSheetId="46">'111.04月'!$A$1:$I$9</definedName>
    <definedName name="_xlnm.Print_Area" localSheetId="45">'111.05月'!$A$1:$I$54</definedName>
    <definedName name="_xlnm.Print_Area" localSheetId="44">'111.06月'!$A$1:$I$7</definedName>
    <definedName name="_xlnm.Print_Area" localSheetId="43">'111.07月'!$A$1:$I$17</definedName>
    <definedName name="_xlnm.Print_Area" localSheetId="42">'111.08月'!$A$1:$I$12</definedName>
    <definedName name="_xlnm.Print_Area" localSheetId="41">'111.09月'!$A$1:$I$9</definedName>
    <definedName name="_xlnm.Print_Area" localSheetId="40">'111.10月'!$A$1:$I$12</definedName>
    <definedName name="_xlnm.Print_Area" localSheetId="39">'111.11月'!$A$1:$I$14</definedName>
    <definedName name="_xlnm.Print_Area" localSheetId="38">'111.12月'!$A$1:$I$17</definedName>
    <definedName name="_xlnm.Print_Area" localSheetId="37">'112.01月'!$A$1:$I$21</definedName>
    <definedName name="_xlnm.Print_Area" localSheetId="36">'112.02月'!$A$1:$I$36</definedName>
    <definedName name="_xlnm.Print_Area" localSheetId="35">'112.03月'!$A$1:$L$105</definedName>
    <definedName name="_xlnm.Print_Area" localSheetId="34">'112.04月'!$A$1:$L$33</definedName>
    <definedName name="_xlnm.Print_Area" localSheetId="33">'112.05月'!$A$1:$L$229</definedName>
    <definedName name="_xlnm.Print_Area" localSheetId="32">'112.06月'!$A$1:$K$7</definedName>
    <definedName name="_xlnm.Print_Area" localSheetId="31">'112.07月'!$A$1:$L$31</definedName>
    <definedName name="_xlnm.Print_Area" localSheetId="30">'112.08月'!$A$1:$L$32</definedName>
    <definedName name="_xlnm.Print_Area" localSheetId="29">'112.09'!$A$1:$L$25</definedName>
    <definedName name="_xlnm.Print_Area" localSheetId="28">'112.10'!$A$1:$L$11</definedName>
    <definedName name="_xlnm.Print_Area" localSheetId="27">'112.11'!$A$1:$L$30</definedName>
    <definedName name="_xlnm.Print_Area" localSheetId="24">'113.02'!$A$1:$M$13</definedName>
    <definedName name="_xlnm.Print_Area" localSheetId="23">'113.03'!$A$1:$M$19</definedName>
    <definedName name="_xlnm.Print_Area" localSheetId="19">'113.07'!$A$1:$L$22</definedName>
    <definedName name="_xlnm.Print_Area" localSheetId="18">'113.08'!$A$1:$L$51</definedName>
    <definedName name="_xlnm.Print_Area" localSheetId="17">'113.09'!$A$1:$L$25</definedName>
    <definedName name="_xlnm.Print_Area" localSheetId="16">'113.10'!$A$1:$L$11</definedName>
    <definedName name="_xlnm.Print_Area" localSheetId="15">'113.12'!$A$1:$L$15</definedName>
    <definedName name="_xlnm.Print_Area" localSheetId="14">'114.01'!$A$1:$L$6</definedName>
    <definedName name="_xlnm.Print_Area" localSheetId="13">'114.02'!$A$1:$L$9</definedName>
    <definedName name="_xlnm.Print_Area" localSheetId="12">'114.03'!$A$1:$L$12</definedName>
    <definedName name="_xlnm.Print_Area" localSheetId="11">'114.04'!$A$1:$L$16</definedName>
    <definedName name="_xlnm.Print_Area" localSheetId="10">'114.05'!$A$1:$L$5</definedName>
    <definedName name="_xlnm.Print_Area" localSheetId="9">'114.06'!$A$1:$L$19</definedName>
    <definedName name="_xlnm.Print_Area" localSheetId="8">'114.07'!$A$1:$M$12</definedName>
    <definedName name="_xlnm.Print_Area" localSheetId="7">'114.08'!$A$1:$M$19</definedName>
    <definedName name="_xlnm.Print_Area" localSheetId="6">'114.09'!$A$1:$M$19</definedName>
    <definedName name="_xlnm.Print_Area" localSheetId="5">'114.10'!$A$1:$M$22</definedName>
    <definedName name="_xlnm.Print_Area" localSheetId="4">'114.11'!$A$1:$M$7</definedName>
    <definedName name="_xlnm.Print_Area" localSheetId="3">'114.12'!$A$1:$M$41</definedName>
    <definedName name="_xlnm.Print_Area" localSheetId="2">'115.01'!$A$1:$N$10</definedName>
    <definedName name="_xlnm.Print_Area" localSheetId="1">'115.02'!$A$1:$N$26</definedName>
    <definedName name="_xlnm.Print_Area" localSheetId="0">'115.03'!$A$1:$N$32</definedName>
    <definedName name="_xlnm.Print_Titles" localSheetId="45">'111.05月'!$A:$A</definedName>
    <definedName name="_xlnm.Print_Titles" localSheetId="38">'111.12月'!$1:$3</definedName>
    <definedName name="_xlnm.Print_Titles" localSheetId="37">'112.01月'!$1:$3</definedName>
    <definedName name="_xlnm.Print_Titles" localSheetId="36">'112.02月'!$1:$3</definedName>
    <definedName name="_xlnm.Print_Titles" localSheetId="35">'112.03月'!$1:$3</definedName>
    <definedName name="_xlnm.Print_Titles" localSheetId="34">'112.04月'!$1:$3</definedName>
    <definedName name="_xlnm.Print_Titles" localSheetId="33">'112.05月'!$1:$3</definedName>
    <definedName name="_xlnm.Print_Titles" localSheetId="32">'112.06月'!$1:$3</definedName>
    <definedName name="_xlnm.Print_Titles" localSheetId="31">'112.07月'!$1:$3</definedName>
    <definedName name="_xlnm.Print_Titles" localSheetId="30">'112.08月'!$1:$3</definedName>
    <definedName name="_xlnm.Print_Titles" localSheetId="29">'112.09'!$1:$3</definedName>
    <definedName name="_xlnm.Print_Titles" localSheetId="28">'112.10'!$1:$3</definedName>
    <definedName name="_xlnm.Print_Titles" localSheetId="27">'112.11'!$1:$3</definedName>
    <definedName name="_xlnm.Print_Titles" localSheetId="26">'112.12'!$1:$3</definedName>
    <definedName name="_xlnm.Print_Titles" localSheetId="25">'113.01'!$1:$3</definedName>
    <definedName name="_xlnm.Print_Titles" localSheetId="24">'113.02'!$1:$3</definedName>
    <definedName name="_xlnm.Print_Titles" localSheetId="23">'113.03'!$1:$3</definedName>
    <definedName name="_xlnm.Print_Titles" localSheetId="22">'113.04'!$1:$3</definedName>
    <definedName name="_xlnm.Print_Titles" localSheetId="21">'113.05'!$1:$3</definedName>
    <definedName name="_xlnm.Print_Titles" localSheetId="20">'113.06'!$1:$3</definedName>
    <definedName name="_xlnm.Print_Titles" localSheetId="19">'113.07'!$1:$3</definedName>
    <definedName name="_xlnm.Print_Titles" localSheetId="18">'113.08'!$1:$3</definedName>
    <definedName name="_xlnm.Print_Titles" localSheetId="17">'113.09'!$1:$3</definedName>
    <definedName name="_xlnm.Print_Titles" localSheetId="16">'113.10'!$1:$3</definedName>
    <definedName name="_xlnm.Print_Titles" localSheetId="15">'113.12'!$1:$3</definedName>
    <definedName name="_xlnm.Print_Titles" localSheetId="14">'114.01'!$1:$3</definedName>
    <definedName name="_xlnm.Print_Titles" localSheetId="13">'114.02'!$1:$3</definedName>
    <definedName name="_xlnm.Print_Titles" localSheetId="12">'114.03'!$1:$3</definedName>
    <definedName name="_xlnm.Print_Titles" localSheetId="11">'114.04'!$1:$3</definedName>
    <definedName name="_xlnm.Print_Titles" localSheetId="10">'114.05'!$1:$3</definedName>
    <definedName name="_xlnm.Print_Titles" localSheetId="9">'114.06'!$1:$3</definedName>
    <definedName name="_xlnm.Print_Titles" localSheetId="8">'114.07'!$1:$3</definedName>
    <definedName name="_xlnm.Print_Titles" localSheetId="7">'114.08'!$1:$3</definedName>
    <definedName name="_xlnm.Print_Titles" localSheetId="6">'114.09'!$1:$3</definedName>
    <definedName name="_xlnm.Print_Titles" localSheetId="5">'114.10'!$1:$3</definedName>
    <definedName name="_xlnm.Print_Titles" localSheetId="4">'114.11'!$1:$3</definedName>
    <definedName name="_xlnm.Print_Titles" localSheetId="3">'114.12'!$1:$3</definedName>
    <definedName name="_xlnm.Print_Titles" localSheetId="2">'115.01'!$1:$3</definedName>
    <definedName name="_xlnm.Print_Titles" localSheetId="1">'115.02'!$1:$3</definedName>
    <definedName name="_xlnm.Print_Titles" localSheetId="0">'115.03'!$1:$3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60" l="1"/>
  <c r="N6" i="60"/>
  <c r="N7" i="60"/>
  <c r="N8" i="60"/>
  <c r="N9" i="60"/>
  <c r="N10" i="60"/>
  <c r="N11" i="60"/>
  <c r="N12" i="60"/>
  <c r="N13" i="60"/>
  <c r="N14" i="60"/>
  <c r="N15" i="60"/>
  <c r="N16" i="60"/>
  <c r="N17" i="60"/>
  <c r="N18" i="60"/>
  <c r="N19" i="60"/>
  <c r="N20" i="60"/>
  <c r="N21" i="60"/>
  <c r="N22" i="60"/>
  <c r="N23" i="60"/>
  <c r="N24" i="60"/>
  <c r="N25" i="60"/>
  <c r="N26" i="60"/>
  <c r="N27" i="60"/>
  <c r="N28" i="60"/>
  <c r="N29" i="60"/>
  <c r="N30" i="60"/>
  <c r="N31" i="60"/>
  <c r="N4" i="60"/>
  <c r="N32" i="60" s="1"/>
  <c r="N5" i="59"/>
  <c r="N6" i="59"/>
  <c r="N7" i="59"/>
  <c r="N8" i="59"/>
  <c r="N9" i="59"/>
  <c r="N10" i="59"/>
  <c r="N11" i="59"/>
  <c r="N12" i="59"/>
  <c r="N13" i="59"/>
  <c r="N14" i="59"/>
  <c r="N15" i="59"/>
  <c r="N16" i="59"/>
  <c r="N17" i="59"/>
  <c r="N19" i="59"/>
  <c r="N20" i="59"/>
  <c r="N18" i="59"/>
  <c r="N21" i="59"/>
  <c r="N22" i="59"/>
  <c r="N23" i="59"/>
  <c r="N24" i="59"/>
  <c r="N25" i="59"/>
  <c r="N4" i="59"/>
  <c r="N5" i="58"/>
  <c r="N6" i="58"/>
  <c r="N7" i="58"/>
  <c r="N8" i="58"/>
  <c r="N10" i="58" s="1"/>
  <c r="N9" i="58"/>
  <c r="N4" i="58"/>
  <c r="M40" i="57"/>
  <c r="M39" i="57"/>
  <c r="M38" i="57"/>
  <c r="M37" i="57"/>
  <c r="M36" i="57"/>
  <c r="M33" i="57"/>
  <c r="M34" i="57"/>
  <c r="M28" i="57"/>
  <c r="M29" i="57"/>
  <c r="M30" i="57"/>
  <c r="M31" i="57"/>
  <c r="M26" i="57"/>
  <c r="M24" i="57"/>
  <c r="M21" i="57"/>
  <c r="M22" i="57"/>
  <c r="M19" i="57"/>
  <c r="M18" i="57"/>
  <c r="M17" i="57"/>
  <c r="M14" i="57"/>
  <c r="M15" i="57"/>
  <c r="M12" i="57"/>
  <c r="M9" i="57"/>
  <c r="M10" i="57"/>
  <c r="M6" i="57"/>
  <c r="M7" i="57"/>
  <c r="M5" i="57"/>
  <c r="M8" i="57"/>
  <c r="M11" i="57"/>
  <c r="M13" i="57"/>
  <c r="M16" i="57"/>
  <c r="M20" i="57"/>
  <c r="M23" i="57"/>
  <c r="M25" i="57"/>
  <c r="M27" i="57"/>
  <c r="M32" i="57"/>
  <c r="M35" i="57"/>
  <c r="M4" i="57"/>
  <c r="M5" i="56"/>
  <c r="M6" i="56"/>
  <c r="M4" i="56"/>
  <c r="M7" i="56" s="1"/>
  <c r="M22" i="55"/>
  <c r="M21" i="55"/>
  <c r="M18" i="55"/>
  <c r="M19" i="55"/>
  <c r="M20" i="55"/>
  <c r="M5" i="55"/>
  <c r="M6" i="55"/>
  <c r="M7" i="55"/>
  <c r="M8" i="55"/>
  <c r="M9" i="55"/>
  <c r="M10" i="55"/>
  <c r="M11" i="55"/>
  <c r="M12" i="55"/>
  <c r="M13" i="55"/>
  <c r="M14" i="55"/>
  <c r="M15" i="55"/>
  <c r="M16" i="55"/>
  <c r="M17" i="55"/>
  <c r="M4" i="55"/>
  <c r="M5" i="54"/>
  <c r="M6" i="54"/>
  <c r="M7" i="54"/>
  <c r="M8" i="54"/>
  <c r="M9" i="54"/>
  <c r="M10" i="54"/>
  <c r="M11" i="54"/>
  <c r="M12" i="54"/>
  <c r="M13" i="54"/>
  <c r="M14" i="54"/>
  <c r="M15" i="54"/>
  <c r="M16" i="54"/>
  <c r="M17" i="54"/>
  <c r="M18" i="54"/>
  <c r="M4" i="54"/>
  <c r="M19" i="54" s="1"/>
  <c r="M18" i="53"/>
  <c r="M17" i="53"/>
  <c r="M16" i="53"/>
  <c r="M13" i="53"/>
  <c r="M14" i="53"/>
  <c r="M15" i="53"/>
  <c r="M12" i="53"/>
  <c r="M11" i="53"/>
  <c r="M10" i="53"/>
  <c r="M9" i="53"/>
  <c r="M8" i="53"/>
  <c r="M7" i="53"/>
  <c r="M6" i="53"/>
  <c r="M4" i="53"/>
  <c r="M5" i="53"/>
  <c r="N26" i="59" l="1"/>
  <c r="M41" i="57"/>
  <c r="M19" i="53"/>
  <c r="M12" i="52"/>
  <c r="M6" i="52"/>
  <c r="M10" i="52"/>
  <c r="M9" i="52"/>
  <c r="M7" i="52"/>
  <c r="M8" i="52"/>
  <c r="M4" i="52"/>
  <c r="L17" i="51"/>
  <c r="L16" i="51"/>
  <c r="L15" i="51"/>
  <c r="L14" i="51"/>
  <c r="L13" i="51"/>
  <c r="L18" i="51"/>
  <c r="L12" i="51"/>
  <c r="L8" i="51"/>
  <c r="L9" i="51"/>
  <c r="L10" i="51"/>
  <c r="L11" i="51"/>
  <c r="L5" i="51"/>
  <c r="L6" i="51"/>
  <c r="L7" i="51"/>
  <c r="L4" i="51"/>
  <c r="L19" i="51" s="1"/>
  <c r="L16" i="49"/>
  <c r="L13" i="49"/>
  <c r="L14" i="49"/>
  <c r="L15" i="49"/>
  <c r="L12" i="49"/>
  <c r="L5" i="49"/>
  <c r="L6" i="49"/>
  <c r="L7" i="49"/>
  <c r="L8" i="49"/>
  <c r="L9" i="49"/>
  <c r="L10" i="49"/>
  <c r="L11" i="49"/>
  <c r="L4" i="49"/>
  <c r="L12" i="48"/>
  <c r="L4" i="48"/>
  <c r="L11" i="48"/>
  <c r="L10" i="48"/>
  <c r="L9" i="48"/>
  <c r="L8" i="48"/>
  <c r="L7" i="48"/>
  <c r="L6" i="48"/>
  <c r="L5" i="48"/>
  <c r="L5" i="50" l="1"/>
  <c r="L9" i="47"/>
  <c r="L6" i="46"/>
  <c r="L15" i="45"/>
  <c r="L11" i="44"/>
  <c r="L13" i="43"/>
  <c r="L12" i="43"/>
  <c r="L14" i="43" l="1"/>
  <c r="L25" i="43" s="1"/>
  <c r="L11" i="42"/>
  <c r="L10" i="42"/>
  <c r="L12" i="42" l="1"/>
  <c r="L51" i="42" s="1"/>
  <c r="L22" i="41"/>
  <c r="L11" i="40" l="1"/>
  <c r="L31" i="39" l="1"/>
  <c r="L15" i="39"/>
  <c r="L19" i="38" l="1"/>
  <c r="L31" i="38" s="1"/>
  <c r="M19" i="37" l="1"/>
  <c r="M13" i="36" l="1"/>
  <c r="M31" i="35" l="1"/>
  <c r="M21" i="35"/>
  <c r="M8" i="35"/>
  <c r="M11" i="35" s="1"/>
  <c r="M32" i="35" l="1"/>
  <c r="M7" i="35"/>
  <c r="M108" i="34" l="1"/>
  <c r="M97" i="34"/>
  <c r="M93" i="34"/>
  <c r="M87" i="34"/>
  <c r="M81" i="34"/>
  <c r="M77" i="34"/>
  <c r="M73" i="34"/>
  <c r="M66" i="34"/>
  <c r="M59" i="34"/>
  <c r="M52" i="34"/>
  <c r="M45" i="34"/>
  <c r="M39" i="34"/>
  <c r="M30" i="34"/>
  <c r="M24" i="34"/>
  <c r="M18" i="34"/>
  <c r="M14" i="34"/>
  <c r="M5" i="34"/>
  <c r="M17" i="34"/>
  <c r="M110" i="34"/>
  <c r="M51" i="34"/>
  <c r="M109" i="34"/>
  <c r="M92" i="34"/>
  <c r="M72" i="34"/>
  <c r="M38" i="34"/>
  <c r="M29" i="34"/>
  <c r="M23" i="34"/>
  <c r="M91" i="34"/>
  <c r="M76" i="34"/>
  <c r="M71" i="34"/>
  <c r="M65" i="34"/>
  <c r="M58" i="34"/>
  <c r="M107" i="34"/>
  <c r="M96" i="34"/>
  <c r="M90" i="34"/>
  <c r="M86" i="34"/>
  <c r="M80" i="34"/>
  <c r="M75" i="34"/>
  <c r="M70" i="34"/>
  <c r="M64" i="34"/>
  <c r="M57" i="34"/>
  <c r="M50" i="34"/>
  <c r="M44" i="34"/>
  <c r="M37" i="34"/>
  <c r="M28" i="34"/>
  <c r="M22" i="34"/>
  <c r="M106" i="34"/>
  <c r="M79" i="34"/>
  <c r="M69" i="34"/>
  <c r="M105" i="34"/>
  <c r="M68" i="34"/>
  <c r="M13" i="34"/>
  <c r="M104" i="34"/>
  <c r="M12" i="34"/>
  <c r="M10" i="34"/>
  <c r="M4" i="34"/>
  <c r="M103" i="34"/>
  <c r="M35" i="34"/>
  <c r="M102" i="34"/>
  <c r="M34" i="34"/>
  <c r="M9" i="34"/>
  <c r="M101" i="34"/>
  <c r="M85" i="34"/>
  <c r="M62" i="34"/>
  <c r="M56" i="34"/>
  <c r="M49" i="34"/>
  <c r="M43" i="34"/>
  <c r="M33" i="34"/>
  <c r="M27" i="34"/>
  <c r="M21" i="34"/>
  <c r="M8" i="34"/>
  <c r="M100" i="34"/>
  <c r="M84" i="34"/>
  <c r="M61" i="34"/>
  <c r="M55" i="34"/>
  <c r="M48" i="34"/>
  <c r="M42" i="34"/>
  <c r="M32" i="34"/>
  <c r="M26" i="34"/>
  <c r="M20" i="34"/>
  <c r="M7" i="34"/>
  <c r="M99" i="34"/>
  <c r="M89" i="34"/>
  <c r="M83" i="34"/>
  <c r="M54" i="34"/>
  <c r="M47" i="34"/>
  <c r="M41" i="34"/>
  <c r="M16" i="34"/>
  <c r="M98" i="34"/>
  <c r="M94" i="34"/>
  <c r="M88" i="34"/>
  <c r="M82" i="34"/>
  <c r="M78" i="34"/>
  <c r="M74" i="34"/>
  <c r="M67" i="34"/>
  <c r="M60" i="34"/>
  <c r="M53" i="34"/>
  <c r="M46" i="34"/>
  <c r="M40" i="34"/>
  <c r="M31" i="34"/>
  <c r="M25" i="34"/>
  <c r="M19" i="34"/>
  <c r="M15" i="34"/>
  <c r="M6" i="34"/>
  <c r="M111" i="34" l="1"/>
  <c r="M112" i="34" s="1"/>
  <c r="L30" i="32" l="1"/>
  <c r="L11" i="31" l="1"/>
  <c r="L25" i="30" l="1"/>
  <c r="K9" i="29" l="1"/>
  <c r="L10" i="29" l="1"/>
  <c r="K10" i="29"/>
  <c r="K8" i="29"/>
  <c r="L7" i="29" l="1"/>
  <c r="L6" i="29"/>
  <c r="L8" i="29" s="1"/>
  <c r="L11" i="29" l="1"/>
  <c r="L32" i="29" s="1"/>
  <c r="L9" i="29"/>
  <c r="L30" i="28"/>
  <c r="L29" i="28"/>
  <c r="K23" i="28" l="1"/>
  <c r="K22" i="28"/>
  <c r="L25" i="28" l="1"/>
  <c r="L7" i="28"/>
  <c r="L6" i="28"/>
  <c r="L5" i="28"/>
  <c r="L4" i="28"/>
  <c r="L27" i="28"/>
  <c r="L26" i="28"/>
  <c r="L13" i="28"/>
  <c r="L12" i="28"/>
  <c r="L9" i="28"/>
  <c r="L8" i="28"/>
  <c r="L11" i="28"/>
  <c r="L10" i="28"/>
  <c r="L17" i="28"/>
  <c r="L16" i="28"/>
  <c r="L19" i="28"/>
  <c r="L18" i="28"/>
  <c r="L21" i="28"/>
  <c r="L20" i="28"/>
  <c r="L15" i="28"/>
  <c r="L14" i="28"/>
  <c r="L23" i="28" l="1"/>
  <c r="L24" i="28"/>
  <c r="L31" i="28" s="1"/>
  <c r="L22" i="28"/>
  <c r="K5" i="27"/>
  <c r="K4" i="27"/>
  <c r="K6" i="27" l="1"/>
  <c r="K7" i="27"/>
  <c r="K56" i="26"/>
  <c r="K211" i="26" l="1"/>
  <c r="P229" i="26" s="1"/>
  <c r="K210" i="26"/>
  <c r="K229" i="26"/>
  <c r="K209" i="26"/>
  <c r="K159" i="26"/>
  <c r="K208" i="26"/>
  <c r="K228" i="26"/>
  <c r="K207" i="26"/>
  <c r="K158" i="26"/>
  <c r="K157" i="26"/>
  <c r="K206" i="26"/>
  <c r="P224" i="26" s="1"/>
  <c r="K227" i="26"/>
  <c r="K205" i="26"/>
  <c r="K156" i="26"/>
  <c r="K226" i="26"/>
  <c r="K204" i="26"/>
  <c r="K155" i="26"/>
  <c r="K225" i="26"/>
  <c r="K203" i="26"/>
  <c r="K154" i="26"/>
  <c r="K224" i="26"/>
  <c r="K202" i="26"/>
  <c r="K153" i="26"/>
  <c r="K116" i="26"/>
  <c r="K115" i="26"/>
  <c r="K114" i="26"/>
  <c r="K113" i="26"/>
  <c r="K112" i="26"/>
  <c r="P112" i="26" s="1"/>
  <c r="K111" i="26"/>
  <c r="K110" i="26"/>
  <c r="K109" i="26"/>
  <c r="K108" i="26"/>
  <c r="K107" i="26"/>
  <c r="K106" i="26"/>
  <c r="K105" i="26"/>
  <c r="K60" i="26"/>
  <c r="K59" i="26"/>
  <c r="K58" i="26"/>
  <c r="P6" i="26" s="1"/>
  <c r="K57" i="26"/>
  <c r="K55" i="26"/>
  <c r="K54" i="26"/>
  <c r="K53" i="26"/>
  <c r="P53" i="26" s="1"/>
  <c r="K52" i="26"/>
  <c r="K51" i="26"/>
  <c r="K50" i="26"/>
  <c r="K49" i="26"/>
  <c r="P59" i="26" l="1"/>
  <c r="P54" i="26"/>
  <c r="P51" i="26"/>
  <c r="P50" i="26"/>
  <c r="P5" i="26"/>
  <c r="P57" i="26"/>
  <c r="P60" i="26"/>
  <c r="P55" i="26"/>
  <c r="P52" i="26"/>
  <c r="P49" i="26"/>
  <c r="L223" i="26" l="1"/>
  <c r="L222" i="26"/>
  <c r="L221" i="26"/>
  <c r="L220" i="26"/>
  <c r="L219" i="26"/>
  <c r="L218" i="26"/>
  <c r="L217" i="26"/>
  <c r="L216" i="26"/>
  <c r="L215" i="26"/>
  <c r="L214" i="26"/>
  <c r="L213" i="26"/>
  <c r="L212" i="26"/>
  <c r="L201" i="26"/>
  <c r="L200" i="26"/>
  <c r="L199" i="26"/>
  <c r="L198" i="26"/>
  <c r="L197" i="26"/>
  <c r="L196" i="26"/>
  <c r="L195" i="26"/>
  <c r="L193" i="26"/>
  <c r="L194" i="26"/>
  <c r="L192" i="26"/>
  <c r="L191" i="26"/>
  <c r="L190" i="26"/>
  <c r="L189" i="26"/>
  <c r="L188" i="26"/>
  <c r="L187" i="26"/>
  <c r="L186" i="26"/>
  <c r="L185" i="26"/>
  <c r="L184" i="26"/>
  <c r="L183" i="26"/>
  <c r="L182" i="26"/>
  <c r="L181" i="26"/>
  <c r="L180" i="26"/>
  <c r="L179" i="26"/>
  <c r="L178" i="26"/>
  <c r="L177" i="26"/>
  <c r="L176" i="26"/>
  <c r="L175" i="26"/>
  <c r="L174" i="26"/>
  <c r="L173" i="26"/>
  <c r="L172" i="26"/>
  <c r="L171" i="26"/>
  <c r="L170" i="26"/>
  <c r="L169" i="26"/>
  <c r="L168" i="26"/>
  <c r="L167" i="26"/>
  <c r="L166" i="26"/>
  <c r="L165" i="26"/>
  <c r="L164" i="26"/>
  <c r="L163" i="26"/>
  <c r="L162" i="26"/>
  <c r="L161" i="26"/>
  <c r="L160" i="26"/>
  <c r="L152" i="26"/>
  <c r="L151" i="26"/>
  <c r="L150" i="26"/>
  <c r="L149" i="26"/>
  <c r="L148" i="26"/>
  <c r="L147" i="26"/>
  <c r="L146" i="26"/>
  <c r="L145" i="26"/>
  <c r="L144" i="26"/>
  <c r="L143" i="26"/>
  <c r="L142" i="26"/>
  <c r="L141" i="26"/>
  <c r="L140" i="26"/>
  <c r="L139" i="26"/>
  <c r="L138" i="26"/>
  <c r="L137" i="26"/>
  <c r="L136" i="26"/>
  <c r="L135" i="26"/>
  <c r="L134" i="26"/>
  <c r="L133" i="26"/>
  <c r="L132" i="26"/>
  <c r="L131" i="26"/>
  <c r="L130" i="26"/>
  <c r="L129" i="26"/>
  <c r="L128" i="26"/>
  <c r="L127" i="26"/>
  <c r="L126" i="26"/>
  <c r="L125" i="26"/>
  <c r="L124" i="26"/>
  <c r="L123" i="26"/>
  <c r="L122" i="26"/>
  <c r="L121" i="26"/>
  <c r="L120" i="26"/>
  <c r="L119" i="26"/>
  <c r="L118" i="26"/>
  <c r="L117" i="26"/>
  <c r="L104" i="26"/>
  <c r="L103" i="26"/>
  <c r="L102" i="26"/>
  <c r="L101" i="26"/>
  <c r="L100" i="26"/>
  <c r="L99" i="26"/>
  <c r="L98" i="26"/>
  <c r="L97" i="26"/>
  <c r="L96" i="26"/>
  <c r="L95" i="26"/>
  <c r="L94" i="26"/>
  <c r="L93" i="26"/>
  <c r="L92" i="26"/>
  <c r="L91" i="26"/>
  <c r="L90" i="26"/>
  <c r="L89" i="26"/>
  <c r="L88" i="26"/>
  <c r="L87" i="26"/>
  <c r="L86" i="26"/>
  <c r="L85" i="26"/>
  <c r="L84" i="26"/>
  <c r="L82" i="26"/>
  <c r="L83" i="26"/>
  <c r="L81" i="26"/>
  <c r="L80" i="26"/>
  <c r="L79" i="26"/>
  <c r="L78" i="26"/>
  <c r="L77" i="26"/>
  <c r="L76" i="26"/>
  <c r="L75" i="26"/>
  <c r="L74" i="26"/>
  <c r="L73" i="26"/>
  <c r="L72" i="26"/>
  <c r="L71" i="26"/>
  <c r="L70" i="26"/>
  <c r="L69" i="26"/>
  <c r="L68" i="26"/>
  <c r="L67" i="26"/>
  <c r="L66" i="26"/>
  <c r="L65" i="26"/>
  <c r="L64" i="26"/>
  <c r="L63" i="26"/>
  <c r="L62" i="26"/>
  <c r="L61"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5" i="26"/>
  <c r="L14" i="26"/>
  <c r="L18" i="26"/>
  <c r="L17" i="26"/>
  <c r="L16" i="26"/>
  <c r="L13" i="26"/>
  <c r="L12" i="26"/>
  <c r="L11" i="26" l="1"/>
  <c r="L10" i="26"/>
  <c r="L9" i="26"/>
  <c r="L8" i="26"/>
  <c r="L7" i="26"/>
  <c r="L6" i="26"/>
  <c r="L5" i="26"/>
  <c r="L4" i="26"/>
  <c r="K32" i="25" l="1"/>
  <c r="K31" i="25"/>
  <c r="K30" i="25"/>
  <c r="K29" i="25"/>
  <c r="K33" i="25"/>
  <c r="L28" i="25"/>
  <c r="L27" i="25"/>
  <c r="L26" i="25"/>
  <c r="L25" i="25"/>
  <c r="L24" i="25"/>
  <c r="L23" i="25"/>
  <c r="L22" i="25"/>
  <c r="L21" i="25"/>
  <c r="L20" i="25"/>
  <c r="L19" i="25"/>
  <c r="L17" i="25"/>
  <c r="L14" i="25"/>
  <c r="L15" i="25"/>
  <c r="L12" i="25"/>
  <c r="L10" i="25"/>
  <c r="L16" i="25"/>
  <c r="L13" i="25"/>
  <c r="L11" i="25"/>
  <c r="L9" i="25"/>
  <c r="L8" i="25"/>
  <c r="L7" i="25"/>
  <c r="L18" i="25"/>
  <c r="L4" i="25"/>
  <c r="L6" i="25"/>
  <c r="L5" i="25"/>
  <c r="L68" i="24" l="1"/>
  <c r="L72" i="24"/>
  <c r="K98" i="24"/>
  <c r="K94" i="24"/>
  <c r="K96" i="24"/>
  <c r="K95" i="24"/>
  <c r="K97" i="24"/>
  <c r="K93" i="24"/>
  <c r="K92" i="24"/>
  <c r="K63" i="24"/>
  <c r="K62" i="24"/>
  <c r="K41" i="24"/>
  <c r="K40" i="24"/>
  <c r="K39" i="24"/>
  <c r="K38" i="24"/>
  <c r="K37" i="24"/>
  <c r="L91" i="24" l="1"/>
  <c r="L90" i="24"/>
  <c r="L87" i="24"/>
  <c r="L86" i="24"/>
  <c r="L76" i="24"/>
  <c r="L75" i="24"/>
  <c r="L70" i="24"/>
  <c r="L69" i="24"/>
  <c r="L61" i="24"/>
  <c r="L60" i="24"/>
  <c r="L59" i="24"/>
  <c r="L58" i="24"/>
  <c r="L57" i="24"/>
  <c r="L56" i="24"/>
  <c r="L55" i="24"/>
  <c r="L54" i="24"/>
  <c r="L53" i="24"/>
  <c r="L52" i="24"/>
  <c r="L46" i="24"/>
  <c r="L36" i="24"/>
  <c r="L35" i="24"/>
  <c r="L34" i="24"/>
  <c r="L33" i="24"/>
  <c r="L32" i="24"/>
  <c r="L31" i="24"/>
  <c r="L30" i="24"/>
  <c r="L29" i="24"/>
  <c r="L28" i="24"/>
  <c r="L27" i="24"/>
  <c r="L24" i="24"/>
  <c r="L23" i="24"/>
  <c r="L22" i="24"/>
  <c r="L21" i="24"/>
  <c r="L20" i="24"/>
  <c r="L19" i="24"/>
  <c r="L18" i="24"/>
  <c r="L17" i="24"/>
  <c r="L16" i="24"/>
  <c r="L15" i="24"/>
  <c r="L14" i="24"/>
  <c r="L13" i="24"/>
  <c r="L12" i="24"/>
  <c r="L11" i="24"/>
  <c r="L10" i="24"/>
  <c r="L9" i="24"/>
  <c r="L8" i="24"/>
  <c r="L7" i="24"/>
  <c r="L6" i="24"/>
  <c r="L4" i="24"/>
  <c r="L5" i="24"/>
  <c r="L84" i="24" l="1"/>
  <c r="L83" i="24"/>
  <c r="L105" i="24" l="1"/>
  <c r="L100" i="24"/>
  <c r="L99" i="24"/>
  <c r="L101" i="24"/>
  <c r="L102" i="24"/>
  <c r="L103" i="24"/>
  <c r="L104" i="24"/>
  <c r="L89" i="24"/>
  <c r="L88" i="24"/>
  <c r="L85" i="24"/>
  <c r="L82" i="24"/>
  <c r="L80" i="24"/>
  <c r="L81" i="24"/>
  <c r="L77" i="24"/>
  <c r="L78" i="24"/>
  <c r="L79" i="24"/>
  <c r="L74" i="24"/>
  <c r="L73" i="24"/>
  <c r="L71" i="24"/>
  <c r="L67" i="24"/>
  <c r="L64" i="24"/>
  <c r="L66" i="24"/>
  <c r="L65" i="24"/>
  <c r="L51" i="24"/>
  <c r="L50" i="24"/>
  <c r="L49" i="24"/>
  <c r="L48" i="24"/>
  <c r="L47" i="24"/>
  <c r="L45" i="24"/>
  <c r="L43" i="24"/>
  <c r="L42" i="24"/>
  <c r="I36" i="23" l="1"/>
  <c r="I35" i="23"/>
  <c r="I33" i="23"/>
  <c r="I34" i="23"/>
  <c r="I16" i="23"/>
  <c r="I18" i="23"/>
  <c r="I17" i="23"/>
  <c r="I32" i="23"/>
  <c r="I31" i="23"/>
  <c r="I23" i="23"/>
  <c r="I24" i="23"/>
  <c r="I25" i="23"/>
  <c r="I26" i="23"/>
  <c r="I27" i="23"/>
  <c r="I28" i="23"/>
  <c r="I29" i="23"/>
  <c r="I30" i="23"/>
  <c r="I22" i="23"/>
  <c r="I21" i="23"/>
  <c r="I20" i="23"/>
  <c r="I19" i="23"/>
  <c r="I15" i="23"/>
  <c r="I14" i="23"/>
  <c r="I13" i="23"/>
  <c r="I12" i="23"/>
  <c r="I11" i="23"/>
  <c r="I10" i="23"/>
  <c r="I9" i="23"/>
  <c r="I8" i="23"/>
  <c r="I7" i="23"/>
  <c r="I6" i="23"/>
  <c r="I5" i="23"/>
  <c r="I4" i="23"/>
  <c r="I21" i="22" l="1"/>
  <c r="I19" i="22"/>
  <c r="I13" i="22" l="1"/>
  <c r="I12" i="22"/>
  <c r="I11" i="22"/>
  <c r="I10" i="22"/>
  <c r="I9" i="22"/>
  <c r="I8" i="22"/>
  <c r="I7" i="22"/>
  <c r="I6" i="22"/>
  <c r="I17" i="22"/>
  <c r="I16" i="22"/>
  <c r="I5" i="22" l="1"/>
  <c r="I4" i="22"/>
  <c r="I15" i="22"/>
  <c r="I14" i="22"/>
  <c r="I17" i="21" l="1"/>
  <c r="I16" i="21"/>
  <c r="I15" i="21"/>
  <c r="I13" i="21"/>
  <c r="I12" i="21"/>
  <c r="I11" i="21" l="1"/>
  <c r="I10" i="21"/>
  <c r="I9" i="21"/>
  <c r="I8" i="21"/>
  <c r="I7" i="21"/>
  <c r="I6" i="21"/>
  <c r="I5" i="21"/>
  <c r="I4" i="21"/>
  <c r="I9" i="20" l="1"/>
  <c r="I8" i="20"/>
  <c r="I6" i="20"/>
  <c r="I5" i="20"/>
  <c r="I7" i="20"/>
  <c r="I4" i="20"/>
  <c r="I14" i="20" l="1"/>
  <c r="I13" i="20"/>
  <c r="I12" i="20"/>
  <c r="I11" i="20"/>
  <c r="I10" i="20"/>
  <c r="I11" i="19" l="1"/>
  <c r="I12" i="19"/>
  <c r="I10" i="19"/>
  <c r="I9" i="19"/>
  <c r="I8" i="19"/>
  <c r="I6" i="19"/>
  <c r="I5" i="19"/>
  <c r="I4" i="19"/>
  <c r="I7" i="19"/>
  <c r="I9" i="18" l="1"/>
  <c r="I8" i="18"/>
  <c r="I7" i="18"/>
  <c r="I6" i="18"/>
  <c r="I5" i="18"/>
  <c r="I4" i="18"/>
  <c r="I11" i="17" l="1"/>
  <c r="I12" i="17"/>
  <c r="I10" i="17"/>
  <c r="I9" i="17"/>
  <c r="I8" i="17"/>
  <c r="I7" i="17"/>
  <c r="I6" i="17"/>
  <c r="I5" i="17"/>
  <c r="I6" i="16" l="1"/>
  <c r="I17" i="16" l="1"/>
  <c r="I14" i="16"/>
  <c r="I5" i="16"/>
  <c r="I4" i="16"/>
  <c r="I16" i="16"/>
  <c r="I15" i="16"/>
  <c r="I13" i="16"/>
  <c r="I12" i="16"/>
  <c r="I11" i="16"/>
  <c r="I7" i="15" l="1"/>
  <c r="I6" i="15"/>
  <c r="I5" i="15"/>
  <c r="I4" i="15"/>
  <c r="I54" i="14" l="1"/>
  <c r="I53" i="14"/>
  <c r="I52" i="14"/>
  <c r="I51" i="14"/>
  <c r="I50" i="14"/>
  <c r="I35" i="14"/>
  <c r="I23" i="14"/>
  <c r="I47" i="14"/>
  <c r="I46" i="14"/>
  <c r="I42" i="14"/>
  <c r="I43" i="14"/>
  <c r="I41" i="14"/>
  <c r="I40" i="14"/>
  <c r="I39" i="14"/>
  <c r="I38" i="14"/>
  <c r="I37" i="14"/>
  <c r="I36" i="14"/>
  <c r="I34" i="14"/>
  <c r="I33" i="14"/>
  <c r="I32" i="14"/>
  <c r="I29" i="14"/>
  <c r="I28" i="14"/>
  <c r="I27" i="14"/>
  <c r="I24" i="14"/>
  <c r="I20" i="14"/>
  <c r="I19" i="14"/>
  <c r="I16" i="14"/>
  <c r="I15" i="14"/>
  <c r="I14" i="14"/>
  <c r="I13" i="14"/>
  <c r="I12" i="14"/>
  <c r="I7" i="13" l="1"/>
  <c r="I6" i="13"/>
  <c r="I9" i="13"/>
  <c r="I8" i="13"/>
  <c r="I19" i="12" l="1"/>
  <c r="I2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tai225</author>
  </authors>
  <commentList>
    <comment ref="H12" authorId="0" shapeId="0" xr:uid="{B4C76470-8FCF-4479-8C3D-AC6A4C29A008}">
      <text>
        <r>
          <rPr>
            <b/>
            <sz val="30"/>
            <color indexed="81"/>
            <rFont val="Tahoma"/>
            <family val="2"/>
          </rPr>
          <t>114.03</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tai225</author>
  </authors>
  <commentList>
    <comment ref="H5" authorId="0" shapeId="0" xr:uid="{1B9B094A-AED9-4FB2-A27D-CF06C3527EB3}">
      <text>
        <r>
          <rPr>
            <b/>
            <sz val="30"/>
            <color indexed="81"/>
            <rFont val="Tahoma"/>
            <family val="2"/>
          </rPr>
          <t>114.03</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4" authorId="0" shapeId="0" xr:uid="{02C54AFF-2943-4846-9603-E2DB8E9946BD}">
      <text>
        <r>
          <rPr>
            <b/>
            <sz val="20"/>
            <color indexed="81"/>
            <rFont val="Tahoma"/>
            <family val="2"/>
          </rPr>
          <t>114.1</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6" authorId="0" shapeId="0" xr:uid="{00000000-0006-0000-0700-000001000000}">
      <text>
        <r>
          <rPr>
            <b/>
            <sz val="30"/>
            <color indexed="81"/>
            <rFont val="Tahoma"/>
            <family val="2"/>
          </rPr>
          <t>113.04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2" authorId="0" shapeId="0" xr:uid="{00000000-0006-0000-0B00-000001000000}">
      <text>
        <r>
          <rPr>
            <b/>
            <sz val="30"/>
            <color indexed="81"/>
            <rFont val="細明體"/>
            <family val="3"/>
            <charset val="136"/>
          </rPr>
          <t>列入12月</t>
        </r>
      </text>
    </comment>
  </commentList>
</comments>
</file>

<file path=xl/sharedStrings.xml><?xml version="1.0" encoding="utf-8"?>
<sst xmlns="http://schemas.openxmlformats.org/spreadsheetml/2006/main" count="4981" uniqueCount="1758">
  <si>
    <t>站別</t>
  </si>
  <si>
    <t>完工日期</t>
  </si>
  <si>
    <t>地址</t>
  </si>
  <si>
    <t>台北市羅斯福路4段68號9樓之2</t>
    <phoneticPr fontId="4" type="noConversion"/>
  </si>
  <si>
    <t>公館站交11</t>
    <phoneticPr fontId="4" type="noConversion"/>
  </si>
  <si>
    <t>景美站交4</t>
    <phoneticPr fontId="4" type="noConversion"/>
  </si>
  <si>
    <t>台北市文山區景中街1號6樓</t>
    <phoneticPr fontId="4" type="noConversion"/>
  </si>
  <si>
    <t>室內電燈開關有問題，師傅建議進行配電管路檢修</t>
    <phoneticPr fontId="4" type="noConversion"/>
  </si>
  <si>
    <t>新北市新店區中央路161號4樓之6</t>
    <phoneticPr fontId="4" type="noConversion"/>
  </si>
  <si>
    <t>樓上漏水造成壁癌，須補土油漆</t>
    <phoneticPr fontId="4" type="noConversion"/>
  </si>
  <si>
    <t>室內水龍頭有漏水狀況，經師傅查看，需進行更新作業</t>
    <phoneticPr fontId="4" type="noConversion"/>
  </si>
  <si>
    <t>提報工程內容</t>
    <phoneticPr fontId="4" type="noConversion"/>
  </si>
  <si>
    <t>晟晁物業管理顧問股份有限公司</t>
    <phoneticPr fontId="4" type="noConversion"/>
  </si>
  <si>
    <t>110年05月份月結</t>
    <phoneticPr fontId="4" type="noConversion"/>
  </si>
  <si>
    <t>提報日期</t>
    <phoneticPr fontId="4" type="noConversion"/>
  </si>
  <si>
    <t>合約項次</t>
    <phoneticPr fontId="4" type="noConversion"/>
  </si>
  <si>
    <t>未稅金額</t>
    <phoneticPr fontId="4" type="noConversion"/>
  </si>
  <si>
    <t>04-08-04*1組</t>
    <phoneticPr fontId="4" type="noConversion"/>
  </si>
  <si>
    <t>05-04-01*8㎡</t>
    <phoneticPr fontId="4" type="noConversion"/>
  </si>
  <si>
    <t>故障說明</t>
    <phoneticPr fontId="4" type="noConversion"/>
  </si>
  <si>
    <t>01-01-02*10㎡</t>
    <phoneticPr fontId="4" type="noConversion"/>
  </si>
  <si>
    <t>新店機廠(捷17、18、19)</t>
    <phoneticPr fontId="4" type="noConversion"/>
  </si>
  <si>
    <t>報修單號</t>
    <phoneticPr fontId="4" type="noConversion"/>
  </si>
  <si>
    <t>案號</t>
    <phoneticPr fontId="4" type="noConversion"/>
  </si>
  <si>
    <t>110年06月份月結</t>
    <phoneticPr fontId="4" type="noConversion"/>
  </si>
  <si>
    <t>新店機廠站
(捷17、18、19)</t>
    <phoneticPr fontId="4" type="noConversion"/>
  </si>
  <si>
    <t>新店機廠站
(捷17、18、19)</t>
    <phoneticPr fontId="4" type="noConversion"/>
  </si>
  <si>
    <t>新北市新店區中央路153號24樓之19</t>
    <phoneticPr fontId="4" type="noConversion"/>
  </si>
  <si>
    <t>新北市新店區中央路161號16樓</t>
    <phoneticPr fontId="4" type="noConversion"/>
  </si>
  <si>
    <t>新北市新店區中央路161號9樓之1</t>
    <phoneticPr fontId="4" type="noConversion"/>
  </si>
  <si>
    <t>新店區中央路153號10樓之16</t>
    <phoneticPr fontId="4" type="noConversion"/>
  </si>
  <si>
    <t>新北市新店區中央路153號25樓之21</t>
    <phoneticPr fontId="4" type="noConversion"/>
  </si>
  <si>
    <t>電子鎖故障無法使用，經廠商檢查，發現是鎖匣腐蝕短路，門舌無法正常關上，建議更新門鎖。</t>
    <phoneticPr fontId="4" type="noConversion"/>
  </si>
  <si>
    <t>住戶反應，洗手台水龍頭下方浴櫃有漏水。經廠商查驗，為水龍頭排水管內之軟管老化，導致管壁產生裂隙，排水時發生漏水，建議更換，由於本零件是水龍頭之相關組件，因此需將水龍頭一併更新。</t>
    <phoneticPr fontId="4" type="noConversion"/>
  </si>
  <si>
    <t>陽台水龍頭連接洗衣機，使用時會漏水，經廠商查驗，為水龍頭老化導致使用時會從龍頭處漏水，建議更換。</t>
    <phoneticPr fontId="4" type="noConversion"/>
  </si>
  <si>
    <t>馬桶持續有水箱水流入馬桶內，經廠商檢測，係因水箱內蓄水組零件老化，無法調整停止補水之水量造成持續溢水，須更新。</t>
    <phoneticPr fontId="4" type="noConversion"/>
  </si>
  <si>
    <t>客廳窗框和上方梁柱相接的部分有漏水的狀況。廠商現場查驗，確認是因為客廳窗戶的窗框與梁柱相接處有縫隙，造成下雨時會漏水，需要先在客廳窗戶上方樑包板處開檢修孔，才能處理漏水處之縫隙。</t>
    <phoneticPr fontId="4" type="noConversion"/>
  </si>
  <si>
    <t>03-04-02*1個</t>
    <phoneticPr fontId="4" type="noConversion"/>
  </si>
  <si>
    <t>03-04-04*1式</t>
    <phoneticPr fontId="4" type="noConversion"/>
  </si>
  <si>
    <t>04-08-03*1組</t>
    <phoneticPr fontId="4" type="noConversion"/>
  </si>
  <si>
    <t>04-08-09*1支</t>
    <phoneticPr fontId="4" type="noConversion"/>
  </si>
  <si>
    <t>04-07-02*1只</t>
    <phoneticPr fontId="4" type="noConversion"/>
  </si>
  <si>
    <t>06-09-01*1式</t>
    <phoneticPr fontId="4" type="noConversion"/>
  </si>
  <si>
    <t>110年07月份月結</t>
    <phoneticPr fontId="4" type="noConversion"/>
  </si>
  <si>
    <t xml:space="preserve">新店機廠站
(捷17、18、19) </t>
    <phoneticPr fontId="4" type="noConversion"/>
  </si>
  <si>
    <t>新北市新店區中央路161號18樓之6</t>
    <phoneticPr fontId="4" type="noConversion"/>
  </si>
  <si>
    <t>新北市新店區中央路161號6樓之3</t>
    <phoneticPr fontId="4" type="noConversion"/>
  </si>
  <si>
    <t>新北市新店區中央路153號8樓之2</t>
  </si>
  <si>
    <t>新北市新店區中央路153號15樓本號</t>
  </si>
  <si>
    <t>新北市新店區中央路153號15樓之21</t>
  </si>
  <si>
    <t>新北市新店區中央路153號20樓之20</t>
    <phoneticPr fontId="4" type="noConversion"/>
  </si>
  <si>
    <t>新北市新店區中央路153號25樓21</t>
    <phoneticPr fontId="4" type="noConversion"/>
  </si>
  <si>
    <t>新北市新店區中央路153號21樓之12</t>
  </si>
  <si>
    <t>新北市新店區中央路153號9樓之20</t>
    <phoneticPr fontId="4" type="noConversion"/>
  </si>
  <si>
    <t>新北市新店區中央路153號10樓之10</t>
    <phoneticPr fontId="4" type="noConversion"/>
  </si>
  <si>
    <t>洗手台下方長期有漏水狀況，廠商現場勘察，發現水龍頭高壓軟管與水龍頭接口處因老舊產生縫隙，造成漏水，須更新整組零件含水龍頭。</t>
    <phoneticPr fontId="4" type="noConversion"/>
  </si>
  <si>
    <t>家門外天花板出現漏水狀況。廠商現場勘察，發現161號6樓之3自來水管路減壓閥主閥漏水，廠商先行關閉減壓閥 BY-Pass 讓住戶仍可使用自來水。但建議盡速更新減壓閥，避免室內管線因水壓壓力過高造成其他物件損害。</t>
    <phoneticPr fontId="4" type="noConversion"/>
  </si>
  <si>
    <t>住戶反映，室內大範圍多處牆面有類似壁癌或發霉的痕跡，廠商現場勘察，確認室內牆面因為下雨時，水氣長時間凝結於牆面上，導致表面留下霉斑污漬，附著在油漆表面，即使乾燥後也無法去除，建議需要重新油漆處理。</t>
    <phoneticPr fontId="4" type="noConversion"/>
  </si>
  <si>
    <t>大門電子鎖不順，常常無法正常開關，磁卡感應不敏感。廠商現場勘察，確認是大門電子鎖鎖匣故障導致無法推動馬達開鎖，且磁卡感應晶片也已老舊無法正常運作功能，建議更換新品。</t>
    <phoneticPr fontId="4" type="noConversion"/>
  </si>
  <si>
    <t>電子鎖故障，無法使用磁卡及密碼開關門，僅能以鑰匙打開。廠商現場勘察，確認是大門電子鎖鎖匣及後機板故障導致功能失效，建議更換新品。</t>
    <phoneticPr fontId="4" type="noConversion"/>
  </si>
  <si>
    <t>住戶反映大門電子鎖故障，無法使用磁卡及密碼開關門，僅能以鑰匙打開。廠商現場勘察，確認是大門電子鎖鎖匣故障導致無法使用感應卡開鎖，同時密碼鎖零件也故障功能異常，建議更換新品。</t>
    <phoneticPr fontId="4" type="noConversion"/>
  </si>
  <si>
    <t>住戶反映大門電子鎖故障，開關過程中門舌常會卡住，無法正常使用。廠商現場勘察，確認是大門電子鎖鎖匣感應故障，無法推動馬達完成開鎖過程，導致半途卡鎖無法開門，建議更換新品。</t>
    <phoneticPr fontId="4" type="noConversion"/>
  </si>
  <si>
    <t>住戶反映台水龍頭漏水，請我方派員檢查。廠商現場勘查，測試水龍頭連接洗衣機水管線，開水後發現水龍頭漏水，確認是水龍頭問題，須更新。</t>
    <phoneticPr fontId="4" type="noConversion"/>
  </si>
  <si>
    <t>住戶反映，室內牆面多處有發霉、污漬情況，無法清潔乾淨，請我方派員勘查。廠商至現場察看，確認室內牆面因雨季牆面潮溼，表面留下霉斑污漬，已深入油漆內側，乾燥後無法完全去除髒污，建議重新補土粉刷。</t>
    <phoneticPr fontId="4" type="noConversion"/>
  </si>
  <si>
    <t>住戶反映，室內牆面多處有發霉、壁癌情況，無法清潔乾淨，請我方派員勘查。廠商至現場察看，確認臥室內靠床邊牆壁有明顯壁癌跟髒污，建議以防水漆打底後重新粉刷油漆。</t>
    <phoneticPr fontId="4" type="noConversion"/>
  </si>
  <si>
    <t>住戶反映，廁所洗手台下方有漏水的情況，需使用抹布承接才能防止櫃子內一直積水。廠商至現場察看，確認為廁所洗手台水龍頭高壓管因老舊導致下方漏水，須更新整組零件含水龍頭。</t>
    <phoneticPr fontId="4" type="noConversion"/>
  </si>
  <si>
    <t>06-06-01*1式</t>
    <phoneticPr fontId="4" type="noConversion"/>
  </si>
  <si>
    <t>01-01-01*10㎡</t>
    <phoneticPr fontId="4" type="noConversion"/>
  </si>
  <si>
    <t>01-01-01*120㎡</t>
    <phoneticPr fontId="4" type="noConversion"/>
  </si>
  <si>
    <t>01-01-01*90㎡</t>
    <phoneticPr fontId="4" type="noConversion"/>
  </si>
  <si>
    <t>01-01-01*30㎡</t>
    <phoneticPr fontId="4" type="noConversion"/>
  </si>
  <si>
    <t>01-01-03*10㎡</t>
    <phoneticPr fontId="4" type="noConversion"/>
  </si>
  <si>
    <t>110年08月份月結</t>
    <phoneticPr fontId="4" type="noConversion"/>
  </si>
  <si>
    <t>新北市新店區中央路153號22樓之17</t>
  </si>
  <si>
    <t>新北市新店區中央路153號19樓之1</t>
  </si>
  <si>
    <t>新北市新店區中央路153號10樓之15</t>
  </si>
  <si>
    <t>新北市新店區中央路153號14樓之5</t>
  </si>
  <si>
    <t>新北市新店區中央路161號15樓之1</t>
    <phoneticPr fontId="4" type="noConversion"/>
  </si>
  <si>
    <t>新北市新店區中央路153號22樓之5</t>
  </si>
  <si>
    <t>新北市新店區中央路153號22樓之19</t>
  </si>
  <si>
    <t>新北市新店區中央路161號16樓之7</t>
  </si>
  <si>
    <t>新店區中央路153號19樓之22</t>
  </si>
  <si>
    <t>新店區中央路153號17樓之9</t>
    <phoneticPr fontId="4" type="noConversion"/>
  </si>
  <si>
    <t>新店區中央路153號19樓之17</t>
    <phoneticPr fontId="4" type="noConversion"/>
  </si>
  <si>
    <t>新店區中央路153號20樓之16</t>
    <phoneticPr fontId="4" type="noConversion"/>
  </si>
  <si>
    <t>新店區中央路153號24樓之6</t>
    <phoneticPr fontId="4" type="noConversion"/>
  </si>
  <si>
    <t>新北市新店區中央路153號20樓之6</t>
    <phoneticPr fontId="4" type="noConversion"/>
  </si>
  <si>
    <t>新北市新店區中央路153號22樓之2</t>
    <phoneticPr fontId="4" type="noConversion"/>
  </si>
  <si>
    <t>住戶反映，大門口電子鎖無法磁卡感應及使用密碼解鎖。廠商至現場察看，確認大門電子鎖鎖匣感應功能及後機板故障，導致無法磁卡感應及密碼解鎖，建議更新電子鎖。</t>
  </si>
  <si>
    <t>住戶反映大門電子鎖故障，無法正常開關門，請我方派員檢查。廠商現場勘察，確認是大門電子鎖鎖匣鎖舌鎖孔外固片因不明原因掉落遺失，故建議門鎖受口片更新修繕。</t>
  </si>
  <si>
    <t>住戶反映大門電子鎖故障，無法使用磁卡及密碼開關門，僅能以鑰匙打開，請我方派員檢查。廠商現場勘察，確認是大門電子鎖鎖匣感應及後機板故障，導致無法使用磁卡感應及密碼解鎖，建議更換新品。</t>
  </si>
  <si>
    <t>住戶反映門窗紗網破損，請我方派員檢查。廠商現場勘察，確認住戶室內門窗紗網因老化龜裂破損，建議更新。</t>
    <phoneticPr fontId="4" type="noConversion"/>
  </si>
  <si>
    <t>住戶反映大門電子鎖故障，無法使用磁卡及密碼開關門，僅能以鑰匙打開，請我方派員檢查。廠商現場勘察，確認是大門電子鎖鎖匣感應鈕感應故障，導致無法使用磁卡感應上鎖及密碼解鎖，建議更換新品。</t>
  </si>
  <si>
    <t>住戶反映大門電子鎖故障，無法使用磁卡及密碼開關門，僅能以鑰匙打開，請我方派員檢查。廠商現場勘察，確認為大門電子鎖後機板故障，導致無法正常解鎖，建議更換新品。</t>
  </si>
  <si>
    <t>住戶反映陽台水龍頭漏水，請我方派員檢查。廠商現場勘查，測試陽台水龍頭漏水狀況，確定水龍頭漏水異常，建議更新水龍頭。</t>
  </si>
  <si>
    <t>住戶反映大門電子鎖故障，無法使用磁卡感應開關門，請我方派員檢查。廠商現場勘察，確認是大門電子鎖鎖匣感應故障，導致無法使用磁卡感應，建議更換新品。</t>
  </si>
  <si>
    <t>住戶反映，室內牆面多處有發霉、均有明顯黴斑，無法清潔乾淨，請我方派員勘查，廠商至現場察看，確認因近期雙北地區多雨天氣，室內潮濕造成住戶室內多處漆面表面留下黴斑，建議重新粉刷油漆。</t>
  </si>
  <si>
    <t>03-04-02*1個</t>
  </si>
  <si>
    <t>03-02-03*15才</t>
    <phoneticPr fontId="4" type="noConversion"/>
  </si>
  <si>
    <t>03-04-10*1組</t>
    <phoneticPr fontId="4" type="noConversion"/>
  </si>
  <si>
    <t>住戶反映大門電子鎖故障，無法使用磁卡及密碼開關門，僅能以鑰匙打開，請我方派員檢查。廠商現場勘察，確認是大門電子鎖鎖匣感應驅動馬達故障，導致無法上鎖，建議更換新品。</t>
    <phoneticPr fontId="4" type="noConversion"/>
  </si>
  <si>
    <t>住戶反映大門電子鎖故障，無法使用磁卡及密碼開關門，僅能以鑰匙打開，請我方派員檢查。廠商現場勘察，確認是大門電子鎖鎖匣感應及後機板故障，導致無法使用磁卡感應及密碼解鎖，建議更換新品。</t>
    <phoneticPr fontId="4" type="noConversion"/>
  </si>
  <si>
    <t>住戶反映大門電子鎖故障，無法使用磁卡及密碼開關門，僅能以鑰匙打開，請我方派員檢查。廠商現場勘察，確認是大門電子鎖鎖匣故障，導致無法推動驅動馬達解鎖，建議更換新品。</t>
    <phoneticPr fontId="4" type="noConversion"/>
  </si>
  <si>
    <t>住戶反映大門電子鎖故障，無法使用磁卡及密碼開關門，僅能以鑰匙打開，請我方派員檢查。廠商現場勘察，確認是大門電子鎖鎖匣感應故障，導致無法使用磁卡感應及密碼解鎖，建議更換新品。</t>
    <phoneticPr fontId="4" type="noConversion"/>
  </si>
  <si>
    <t>01-01-01*80㎡</t>
    <phoneticPr fontId="4" type="noConversion"/>
  </si>
  <si>
    <t>110年09月份月結</t>
    <phoneticPr fontId="4" type="noConversion"/>
  </si>
  <si>
    <t>新北市新店區中央路153號19樓之6</t>
    <phoneticPr fontId="4" type="noConversion"/>
  </si>
  <si>
    <t>公館站
(交11)</t>
    <phoneticPr fontId="4" type="noConversion"/>
  </si>
  <si>
    <t>台北市羅斯福路4段68號9樓之3</t>
    <phoneticPr fontId="4" type="noConversion"/>
  </si>
  <si>
    <t>台北市羅斯福路4段68號8樓之3</t>
    <phoneticPr fontId="4" type="noConversion"/>
  </si>
  <si>
    <t>台北市羅斯福路4段68號9樓之5</t>
    <phoneticPr fontId="4" type="noConversion"/>
  </si>
  <si>
    <t xml:space="preserve">新店區公所站
(捷22) </t>
    <phoneticPr fontId="4" type="noConversion"/>
  </si>
  <si>
    <t>新北市北新路一段293號4樓之3</t>
    <phoneticPr fontId="4" type="noConversion"/>
  </si>
  <si>
    <t>台北市羅斯福路4段68號8樓本號</t>
    <phoneticPr fontId="4" type="noConversion"/>
  </si>
  <si>
    <t>公館站8樓之3承租戶於2021/9/22來電反應馬桶水箱蓄水有問題，與廠商排定時間現場勘查。經廠商現場檢查，發現馬桶水箱零件損壞, 造成使用後無法重新蓄滿水，蓄水量不足導致下次沖水量不足。建議更新馬桶零件。</t>
  </si>
  <si>
    <t>公館站9樓之5承租戶於2021/9/22來電反應浴室洗手台漏水，與廠商排定時間現場勘查。經廠商現場檢查，係因浴室洗手台下方U型管連接處及管壁有破洞造成漏水，建議應立即更換。</t>
  </si>
  <si>
    <t>2021/9/23收到住戶反映避難指示燈損壞，請我方派員處理。經現場檢查，確定避難指示燈已損壞，建議盡速更新避免影響緊急疏散功能。</t>
    <phoneticPr fontId="4" type="noConversion"/>
  </si>
  <si>
    <t>公館站8樓本號承租戶於2021/9/22來電反應廁所抽風機無法運作，與廠商排定時間現場勘查。經廠商現場檢查，確認抽風機已壞掉無法正常運作。廠商建議更換抽風機。</t>
  </si>
  <si>
    <t>公館站9樓之3承租戶於2021/9/22來電反應輕鋼架天花板燈有損壞情形，以及浴室洗手檯水龍頭、馬桶出水量很小，與廠商排定時間現場勘查。經廠商現場檢查，輕鋼架天花板的燈座變壓器己老化燒毀，無法修復。浴廁洗手檯水龍頭及馬桶水量小則是因為凡而零件老化卡死導致無法調整出水量。廠商建議應立即將損壞零件更新處理。</t>
  </si>
  <si>
    <t>04-11-09*1組</t>
    <phoneticPr fontId="4" type="noConversion"/>
  </si>
  <si>
    <t>04-08-11*3只</t>
    <phoneticPr fontId="4" type="noConversion"/>
  </si>
  <si>
    <t>04-11-06*1只</t>
    <phoneticPr fontId="4" type="noConversion"/>
  </si>
  <si>
    <t>04-08-02*1組</t>
    <phoneticPr fontId="4" type="noConversion"/>
  </si>
  <si>
    <t>04-07-05*1套</t>
    <phoneticPr fontId="4" type="noConversion"/>
  </si>
  <si>
    <t>04-08-13*1組</t>
    <phoneticPr fontId="4" type="noConversion"/>
  </si>
  <si>
    <t>110年10月份月結</t>
    <phoneticPr fontId="4" type="noConversion"/>
  </si>
  <si>
    <t>新北市新店區中央路161號12樓本號</t>
    <phoneticPr fontId="4" type="noConversion"/>
  </si>
  <si>
    <t>新北市新店區中央路153號13樓之6</t>
    <phoneticPr fontId="4" type="noConversion"/>
  </si>
  <si>
    <t>台北市羅斯福路四段68號9樓之5</t>
    <phoneticPr fontId="4" type="noConversion"/>
  </si>
  <si>
    <t>住戶反映大門電子鎖故障，無法使用磁卡及密碼開關門，僅能以鑰匙打開， 請我方派員檢查。廠商現場勘察，確認是門鎖感應鍵故障，導致無法正常感應推動馬達解鎖，建議更換新品。</t>
    <phoneticPr fontId="4" type="noConversion"/>
  </si>
  <si>
    <t>住戶反映大門電子鎖故障，無法使用磁卡及密碼開關門，僅能以鑰匙打開， 請我方派員檢查。廠商現場勘察，確認是驅動馬達故障，導致無法正常感應推動馬達解鎖，建議更換新品。</t>
    <phoneticPr fontId="4" type="noConversion"/>
  </si>
  <si>
    <t>住戶反映，廁所水龍頭水量小，請我方派員處理。廠商至現場察看，確認為廁所洗手台水龍頭內部零件老化失效導致出水量變小，須更新水龍頭。</t>
    <phoneticPr fontId="4" type="noConversion"/>
  </si>
  <si>
    <t>住戶反映，廁所洗手台下方水管有漏水的情況，請我方派員檢查。廠商至現場察看，確認為廁所洗手台水龍頭高壓管因老舊導致下方漏水，須更新整組零件含水龍頭。</t>
    <phoneticPr fontId="4" type="noConversion"/>
  </si>
  <si>
    <t>住戶反映，室內天花板輕鋼架照明燈組損壞，廠商查看，確認有10盞天花板輕鋼架燈接頭與變壓器損壞，建議立即更換處理。</t>
    <phoneticPr fontId="4" type="noConversion"/>
  </si>
  <si>
    <t>04-11-09*10組</t>
    <phoneticPr fontId="4" type="noConversion"/>
  </si>
  <si>
    <t>110年11月份月結</t>
    <phoneticPr fontId="4" type="noConversion"/>
  </si>
  <si>
    <t xml:space="preserve">新店機廠站
(捷17、18、19) </t>
  </si>
  <si>
    <t>新店區公所站
(捷22)</t>
  </si>
  <si>
    <t>新北市新店區中央路153號20樓之2</t>
    <phoneticPr fontId="4" type="noConversion"/>
  </si>
  <si>
    <t>新北市新店區中央路153號17樓之20</t>
    <phoneticPr fontId="4" type="noConversion"/>
  </si>
  <si>
    <t>新北市新店區中央路153號14樓之18</t>
    <phoneticPr fontId="4" type="noConversion"/>
  </si>
  <si>
    <t>新北市新店區中央路153號13樓之19</t>
    <phoneticPr fontId="4" type="noConversion"/>
  </si>
  <si>
    <t>住戶反映，陽台水龍頭有漏水的情況，請我方派員檢查。廠商現場勘查，測試陽台水龍頭漏水狀況，確定水龍頭漏水異常，建議更新水龍頭。</t>
  </si>
  <si>
    <t>新北市新店區中央路153號13樓之20</t>
    <phoneticPr fontId="4" type="noConversion"/>
  </si>
  <si>
    <t>住戶反映大門電子鎖故障，無法使用磁卡及密碼開關門，僅能以鑰匙打開，請我方派員檢查。廠商現場勘察，確認是感應鍵脫離，導致無法正常感應推動馬達解鎖，建議更換新品。</t>
  </si>
  <si>
    <t>住戶反映大門電子鎖故障，無法使用磁卡及密碼開關門，僅能以鑰匙打開，請我方派員檢查。廠商現場勘察，確認是門鎖機板故障，導致無法正常感應推動馬達解鎖，建議更換新品。</t>
  </si>
  <si>
    <t>住戶反映大門電子鎖故障，無法使用磁卡及密碼開關門，僅能以鑰匙打開，請我方派員檢查。廠商現場勘察，確認是驅動馬達故障，導致無法正常感應推動馬達解鎖，建議更換新品。</t>
  </si>
  <si>
    <t>新北市新店區北新路一段293號3樓之5</t>
    <phoneticPr fontId="4" type="noConversion"/>
  </si>
  <si>
    <t>住戶反映，消防避難指示燈不會亮，請我方派員檢查。廠商現場勘查，測試逃生避難指示燈狀況，確定逃生避難指示燈故障，建議更新消防指示燈。</t>
  </si>
  <si>
    <t>新北市新店區中央路153號9樓之18</t>
    <phoneticPr fontId="4" type="noConversion"/>
  </si>
  <si>
    <t>住戶反映，室內牆面地震後出現龜裂及牆面色差，請我方派員勘查。廠商至現場察看，確認牆面有龜裂及牆面色差狀況，建議重新油漆補土。</t>
  </si>
  <si>
    <t>新北市新店區中央路153號27樓之13</t>
    <phoneticPr fontId="4" type="noConversion"/>
  </si>
  <si>
    <t>接獲住戶反映，浴室天花板靠近窗邊的位置有漏水狀況，請我方派員檢查。廠商現場勘查，確認該處有漏水問題，需開設檢修孔以了解漏水原因。</t>
  </si>
  <si>
    <t>住戶反映大門電子鎖故障，無法使用磁卡開關門，請我方派員檢查。廠商現場勘察，確認是機板故障，無法感應解鎖，建議更換新品。</t>
  </si>
  <si>
    <t>住戶反映大門電子鎖故障，無法使用磁卡開關門，請我方派員檢查。廠商現場勘察，確認是門鎖感應鎖匣故障，無法感應解鎖，建議更換新品。</t>
  </si>
  <si>
    <t>住戶反映大門電子鎖故障，無法使用磁卡開關門，請我方派員檢查。廠商現場勘察，確認是門鎖感應鍵故障，無法感應推動馬達解鎖，建議更換新品。</t>
  </si>
  <si>
    <t>新北市新店區中央路153號14樓之15</t>
    <phoneticPr fontId="4" type="noConversion"/>
  </si>
  <si>
    <t>新北市新店區中央路153號23樓之25</t>
    <phoneticPr fontId="4" type="noConversion"/>
  </si>
  <si>
    <t>2021/11/2</t>
  </si>
  <si>
    <t>2021/11/3</t>
  </si>
  <si>
    <t>2021/11/17</t>
  </si>
  <si>
    <t>2021/11/8</t>
  </si>
  <si>
    <t>2021/11/22</t>
  </si>
  <si>
    <t>2021/11/11</t>
  </si>
  <si>
    <t>2021/11/25</t>
  </si>
  <si>
    <t>01-01-01*20㎡</t>
    <phoneticPr fontId="4" type="noConversion"/>
  </si>
  <si>
    <t>01-01-02*8㎡</t>
    <phoneticPr fontId="4" type="noConversion"/>
  </si>
  <si>
    <t>110年12月份月結</t>
    <phoneticPr fontId="4" type="noConversion"/>
  </si>
  <si>
    <t>2021/12/13</t>
    <phoneticPr fontId="4" type="noConversion"/>
  </si>
  <si>
    <t>新北市新店區中央路153號21樓之20</t>
    <phoneticPr fontId="4" type="noConversion"/>
  </si>
  <si>
    <t>住戶反映大門電子鎖故障，無法使用磁卡及密碼開關門，僅能以鑰匙打開，請我方派員檢查。廠商現場勘察，確認是門鎖感應機版故障，無法推動馬達解鎖，建議更換新品。</t>
    <phoneticPr fontId="4" type="noConversion"/>
  </si>
  <si>
    <t>住戶反映大門電子鎖故障，無法使用磁卡開門，請我方派員檢查。廠商現場勘察，確認是門鎖感應鎖匣故障，無法感應磁卡開門，建議更換新品。</t>
    <phoneticPr fontId="4" type="noConversion"/>
  </si>
  <si>
    <t xml:space="preserve"> </t>
    <phoneticPr fontId="4" type="noConversion"/>
  </si>
  <si>
    <t>新北市新店區中央路153號20樓之21</t>
    <phoneticPr fontId="4" type="noConversion"/>
  </si>
  <si>
    <t xml:space="preserve">新店機廠站
(捷17、18、19) </t>
    <phoneticPr fontId="4" type="noConversion"/>
  </si>
  <si>
    <t>新北市新店區中央路153號20樓之26</t>
    <phoneticPr fontId="4" type="noConversion"/>
  </si>
  <si>
    <t>新北市新店區中央路161號7樓本號</t>
    <phoneticPr fontId="4" type="noConversion"/>
  </si>
  <si>
    <t>新北市新店區中央路161號19樓之1</t>
    <phoneticPr fontId="4" type="noConversion"/>
  </si>
  <si>
    <t>新北市新店區中央路153號20樓之21</t>
    <phoneticPr fontId="4" type="noConversion"/>
  </si>
  <si>
    <t>住戶反映，室內對外窗邊緣有漏水的狀況，請我方派員處理。廠商現場勘察，確認窗框邊緣天花板與牆面有漏水痕跡，建議新設檢修孔往上查看漏水原因，方能進行後續防漏處理。</t>
    <phoneticPr fontId="4" type="noConversion"/>
  </si>
  <si>
    <t>住戶反映大門電子鎖故障，無法使用磁卡開門，請我方派員檢查。廠商現場勘察，確認是門鎖感機板故障，且鎖舌驅動馬達故障，故無法感應磁卡開門，建議更換新品。</t>
    <phoneticPr fontId="4" type="noConversion"/>
  </si>
  <si>
    <t>住戶反映大門電子鎖故障，無法使用磁卡開門，請我方派員檢查。廠商現場勘察，確認是門鎖感機板故障，且鎖舌驅動馬達故障，故無法感應磁卡開門，建議更換新品。</t>
    <phoneticPr fontId="4" type="noConversion"/>
  </si>
  <si>
    <t>住戶反映，浴室洗手台下方有漏水狀況，請我方派員處理。廠商現場勘察，確認為洗手台下方U管破裂導致漏水，需更新。</t>
    <phoneticPr fontId="4" type="noConversion"/>
  </si>
  <si>
    <t>住戶反映，地震後室內牆壁出現裂縫，請我方派員處理。廠商現場勘察，確認室內有小範圍因地震產生之裂痕，建議補土油漆。</t>
    <phoneticPr fontId="4" type="noConversion"/>
  </si>
  <si>
    <t>2022/1/6</t>
    <phoneticPr fontId="4" type="noConversion"/>
  </si>
  <si>
    <t>2022/1/6</t>
    <phoneticPr fontId="4" type="noConversion"/>
  </si>
  <si>
    <t>2022/1/6</t>
    <phoneticPr fontId="4" type="noConversion"/>
  </si>
  <si>
    <t>2022/1/13</t>
    <phoneticPr fontId="4" type="noConversion"/>
  </si>
  <si>
    <t>04-08-02*1組</t>
    <phoneticPr fontId="4" type="noConversion"/>
  </si>
  <si>
    <t>01-01-01*8㎡</t>
    <phoneticPr fontId="4" type="noConversion"/>
  </si>
  <si>
    <t>01-01-02*2㎡</t>
    <phoneticPr fontId="4" type="noConversion"/>
  </si>
  <si>
    <t>111年01月份月結</t>
    <phoneticPr fontId="4" type="noConversion"/>
  </si>
  <si>
    <t>新北市新店區中央路153號10樓之23</t>
    <phoneticPr fontId="4" type="noConversion"/>
  </si>
  <si>
    <t>住戶反映大門電子鎖故障，無法使用磁卡開門，請我方派員檢查。廠商現場勘察，確認是門鎖感機板故障，且鎖舌驅動馬達故障，故無法感應磁卡開門，建議更換新品。</t>
    <phoneticPr fontId="4" type="noConversion"/>
  </si>
  <si>
    <t>2022/1/24</t>
    <phoneticPr fontId="4" type="noConversion"/>
  </si>
  <si>
    <t>新北市新店區中央路153號20樓之11</t>
    <phoneticPr fontId="4" type="noConversion"/>
  </si>
  <si>
    <t>住戶反應大門電子鎖故障，無法使用磁卡開門，請我方派員檢查。廠商現場勘查，確認是門鎖感應機板故障，且鎖舌驅動馬達故障，故無法感應磁卡開門，建議更換新品。</t>
    <phoneticPr fontId="4" type="noConversion"/>
  </si>
  <si>
    <t>111年02月份月結</t>
    <phoneticPr fontId="4" type="noConversion"/>
  </si>
  <si>
    <t>2022/2/18</t>
    <phoneticPr fontId="4" type="noConversion"/>
  </si>
  <si>
    <t>新北市新店區中央路153號28樓之21</t>
    <phoneticPr fontId="4" type="noConversion"/>
  </si>
  <si>
    <t>住戶反應大門電子鎖故障，無法使用磁卡及密碼開門，請我方派員檢查。廠商現場勘察，確認是門鎖感應機板故障，故無法感應磁卡跟以密碼開門，建議更換新品。</t>
    <phoneticPr fontId="4" type="noConversion"/>
  </si>
  <si>
    <t>111年03月份月結</t>
    <phoneticPr fontId="4" type="noConversion"/>
  </si>
  <si>
    <t>2022031102002</t>
    <phoneticPr fontId="4" type="noConversion"/>
  </si>
  <si>
    <t>新北市新店區中央路153號(27-3、27-21、28-11、29-7、29-9)、161號(12-2、19-5、21-5、22-1、22-6)</t>
    <phoneticPr fontId="4" type="noConversion"/>
  </si>
  <si>
    <t>公館站
(交11)</t>
    <phoneticPr fontId="4" type="noConversion"/>
  </si>
  <si>
    <t>臺北市羅斯福路4段68號9樓之10</t>
    <phoneticPr fontId="4" type="noConversion"/>
  </si>
  <si>
    <r>
      <t>現場主任巡視空屋時，確認有須修繕之況狀，提報詳細修繕項目如下：牆面補土(01-01-02)：153-27-3(2m</t>
    </r>
    <r>
      <rPr>
        <vertAlign val="superscript"/>
        <sz val="16"/>
        <color indexed="8"/>
        <rFont val="微軟正黑體"/>
        <family val="2"/>
        <charset val="136"/>
      </rPr>
      <t>2</t>
    </r>
    <r>
      <rPr>
        <sz val="16"/>
        <color indexed="8"/>
        <rFont val="微軟正黑體"/>
        <family val="2"/>
        <charset val="136"/>
      </rPr>
      <t>)、153-27-21(1m</t>
    </r>
    <r>
      <rPr>
        <vertAlign val="superscript"/>
        <sz val="16"/>
        <color indexed="8"/>
        <rFont val="微軟正黑體"/>
        <family val="2"/>
        <charset val="136"/>
      </rPr>
      <t>2</t>
    </r>
    <r>
      <rPr>
        <sz val="16"/>
        <color indexed="8"/>
        <rFont val="微軟正黑體"/>
        <family val="2"/>
        <charset val="136"/>
      </rPr>
      <t>)、153-28-11(1m</t>
    </r>
    <r>
      <rPr>
        <vertAlign val="superscript"/>
        <sz val="16"/>
        <color indexed="8"/>
        <rFont val="微軟正黑體"/>
        <family val="2"/>
        <charset val="136"/>
      </rPr>
      <t>2</t>
    </r>
    <r>
      <rPr>
        <sz val="16"/>
        <color indexed="8"/>
        <rFont val="微軟正黑體"/>
        <family val="2"/>
        <charset val="136"/>
      </rPr>
      <t>)、153-29-7(1m</t>
    </r>
    <r>
      <rPr>
        <vertAlign val="superscript"/>
        <sz val="16"/>
        <color indexed="8"/>
        <rFont val="微軟正黑體"/>
        <family val="2"/>
        <charset val="136"/>
      </rPr>
      <t>2</t>
    </r>
    <r>
      <rPr>
        <sz val="16"/>
        <color indexed="8"/>
        <rFont val="微軟正黑體"/>
        <family val="2"/>
        <charset val="136"/>
      </rPr>
      <t>)、153-29-9(1m</t>
    </r>
    <r>
      <rPr>
        <vertAlign val="superscript"/>
        <sz val="16"/>
        <color indexed="8"/>
        <rFont val="微軟正黑體"/>
        <family val="2"/>
        <charset val="136"/>
      </rPr>
      <t>2</t>
    </r>
    <r>
      <rPr>
        <sz val="16"/>
        <color indexed="8"/>
        <rFont val="微軟正黑體"/>
        <family val="2"/>
        <charset val="136"/>
      </rPr>
      <t>)。牆壁油漆(01-01-01)：153-27-3(80m</t>
    </r>
    <r>
      <rPr>
        <vertAlign val="superscript"/>
        <sz val="16"/>
        <color indexed="8"/>
        <rFont val="微軟正黑體"/>
        <family val="2"/>
        <charset val="136"/>
      </rPr>
      <t>2</t>
    </r>
    <r>
      <rPr>
        <sz val="16"/>
        <color indexed="8"/>
        <rFont val="微軟正黑體"/>
        <family val="2"/>
        <charset val="136"/>
      </rPr>
      <t>)、153-27-21(20m</t>
    </r>
    <r>
      <rPr>
        <vertAlign val="superscript"/>
        <sz val="16"/>
        <color indexed="8"/>
        <rFont val="微軟正黑體"/>
        <family val="2"/>
        <charset val="136"/>
      </rPr>
      <t>2</t>
    </r>
    <r>
      <rPr>
        <sz val="16"/>
        <color indexed="8"/>
        <rFont val="微軟正黑體"/>
        <family val="2"/>
        <charset val="136"/>
      </rPr>
      <t>)、153-28-11(16m</t>
    </r>
    <r>
      <rPr>
        <vertAlign val="superscript"/>
        <sz val="16"/>
        <color indexed="8"/>
        <rFont val="微軟正黑體"/>
        <family val="2"/>
        <charset val="136"/>
      </rPr>
      <t>2</t>
    </r>
    <r>
      <rPr>
        <sz val="16"/>
        <color indexed="8"/>
        <rFont val="微軟正黑體"/>
        <family val="2"/>
        <charset val="136"/>
      </rPr>
      <t>)、、153-29-7(10m</t>
    </r>
    <r>
      <rPr>
        <vertAlign val="superscript"/>
        <sz val="16"/>
        <color indexed="8"/>
        <rFont val="微軟正黑體"/>
        <family val="2"/>
        <charset val="136"/>
      </rPr>
      <t>2</t>
    </r>
    <r>
      <rPr>
        <sz val="16"/>
        <color indexed="8"/>
        <rFont val="微軟正黑體"/>
        <family val="2"/>
        <charset val="136"/>
      </rPr>
      <t>)、153-29-9(10m</t>
    </r>
    <r>
      <rPr>
        <vertAlign val="superscript"/>
        <sz val="16"/>
        <color indexed="8"/>
        <rFont val="微軟正黑體"/>
        <family val="2"/>
        <charset val="136"/>
      </rPr>
      <t>2</t>
    </r>
    <r>
      <rPr>
        <sz val="16"/>
        <color indexed="8"/>
        <rFont val="微軟正黑體"/>
        <family val="2"/>
        <charset val="136"/>
      </rPr>
      <t>)、161-12-2(22m</t>
    </r>
    <r>
      <rPr>
        <vertAlign val="superscript"/>
        <sz val="16"/>
        <color indexed="8"/>
        <rFont val="微軟正黑體"/>
        <family val="2"/>
        <charset val="136"/>
      </rPr>
      <t>2</t>
    </r>
    <r>
      <rPr>
        <sz val="16"/>
        <color indexed="8"/>
        <rFont val="微軟正黑體"/>
        <family val="2"/>
        <charset val="136"/>
      </rPr>
      <t>)、161-19-5(20m</t>
    </r>
    <r>
      <rPr>
        <vertAlign val="superscript"/>
        <sz val="16"/>
        <color indexed="8"/>
        <rFont val="微軟正黑體"/>
        <family val="2"/>
        <charset val="136"/>
      </rPr>
      <t>2</t>
    </r>
    <r>
      <rPr>
        <sz val="16"/>
        <color indexed="8"/>
        <rFont val="微軟正黑體"/>
        <family val="2"/>
        <charset val="136"/>
      </rPr>
      <t>)、161-22-1(100m</t>
    </r>
    <r>
      <rPr>
        <vertAlign val="superscript"/>
        <sz val="16"/>
        <color indexed="8"/>
        <rFont val="微軟正黑體"/>
        <family val="2"/>
        <charset val="136"/>
      </rPr>
      <t>2</t>
    </r>
    <r>
      <rPr>
        <sz val="16"/>
        <color indexed="8"/>
        <rFont val="微軟正黑體"/>
        <family val="2"/>
        <charset val="136"/>
      </rPr>
      <t>)、161-21-5(24m</t>
    </r>
    <r>
      <rPr>
        <vertAlign val="superscript"/>
        <sz val="16"/>
        <color indexed="8"/>
        <rFont val="微軟正黑體"/>
        <family val="2"/>
        <charset val="136"/>
      </rPr>
      <t>2</t>
    </r>
    <r>
      <rPr>
        <sz val="16"/>
        <color indexed="8"/>
        <rFont val="微軟正黑體"/>
        <family val="2"/>
        <charset val="136"/>
      </rPr>
      <t>)、161-22-6(36m</t>
    </r>
    <r>
      <rPr>
        <vertAlign val="superscript"/>
        <sz val="16"/>
        <color indexed="8"/>
        <rFont val="微軟正黑體"/>
        <family val="2"/>
        <charset val="136"/>
      </rPr>
      <t>2</t>
    </r>
    <r>
      <rPr>
        <sz val="16"/>
        <color indexed="8"/>
        <rFont val="微軟正黑體"/>
        <family val="2"/>
        <charset val="136"/>
      </rPr>
      <t>)。牆面防水漆作業(01-01-03)：161-19-5(1m</t>
    </r>
    <r>
      <rPr>
        <vertAlign val="superscript"/>
        <sz val="16"/>
        <color indexed="8"/>
        <rFont val="微軟正黑體"/>
        <family val="2"/>
        <charset val="136"/>
      </rPr>
      <t>2</t>
    </r>
    <r>
      <rPr>
        <sz val="16"/>
        <color indexed="8"/>
        <rFont val="微軟正黑體"/>
        <family val="2"/>
        <charset val="136"/>
      </rPr>
      <t>)、161-21-5(2m</t>
    </r>
    <r>
      <rPr>
        <vertAlign val="superscript"/>
        <sz val="16"/>
        <color indexed="8"/>
        <rFont val="微軟正黑體"/>
        <family val="2"/>
        <charset val="136"/>
      </rPr>
      <t>2</t>
    </r>
    <r>
      <rPr>
        <sz val="16"/>
        <color indexed="8"/>
        <rFont val="微軟正黑體"/>
        <family val="2"/>
        <charset val="136"/>
      </rPr>
      <t>)、161-22-1(5m</t>
    </r>
    <r>
      <rPr>
        <vertAlign val="superscript"/>
        <sz val="16"/>
        <color indexed="8"/>
        <rFont val="微軟正黑體"/>
        <family val="2"/>
        <charset val="136"/>
      </rPr>
      <t>2</t>
    </r>
    <r>
      <rPr>
        <sz val="16"/>
        <color indexed="8"/>
        <rFont val="微軟正黑體"/>
        <family val="2"/>
        <charset val="136"/>
      </rPr>
      <t>)、161-22-6(4m</t>
    </r>
    <r>
      <rPr>
        <vertAlign val="superscript"/>
        <sz val="16"/>
        <color indexed="8"/>
        <rFont val="微軟正黑體"/>
        <family val="2"/>
        <charset val="136"/>
      </rPr>
      <t>2</t>
    </r>
    <r>
      <rPr>
        <sz val="16"/>
        <color indexed="8"/>
        <rFont val="微軟正黑體"/>
        <family val="2"/>
        <charset val="136"/>
      </rPr>
      <t>)。電子鎖機板故障(03-04-02、03-04-04)：153-28-11、161-12-2、161-22-6。吸頂式單燈型燈具組(04-11-02)：161-22-1。廚房燈泡LED(04-11-04)：153-27-3。將損壞之牆面補土、補漆(2次施作方能平整上色)、牆面發霉部分先施作防水漆才補漆，更換故障之電子鎖、燈泡、吸頂燈燈具。</t>
    </r>
    <phoneticPr fontId="4" type="noConversion"/>
  </si>
  <si>
    <t>新北市新店區中央路153號10樓之22</t>
    <phoneticPr fontId="4" type="noConversion"/>
  </si>
  <si>
    <t>新北市新店區中央路161號3樓之7</t>
    <phoneticPr fontId="4" type="noConversion"/>
  </si>
  <si>
    <t>新北市新店區中央路161號21樓之5</t>
    <phoneticPr fontId="4" type="noConversion"/>
  </si>
  <si>
    <t>新北市新店區中央路161號22樓之1</t>
    <phoneticPr fontId="4" type="noConversion"/>
  </si>
  <si>
    <t>住戶反應大門電子鎖故障，無法使用磁卡及密碼開門，請我方派員檢查。廠商現場勘察，確認是門鎖感應機板故障，故無法感應磁卡跟以密碼開門， 建議更換新品。</t>
    <phoneticPr fontId="4" type="noConversion"/>
  </si>
  <si>
    <t>公館站9樓之10承租戶於2022/3/21來電反應浴室水龍頭有漏水現象，與廠商排定時間現場勘查。經廠商現場勘查，發現浴室水龍頭因老舊生鏽無法止水，經調整仍有漏水情形，廠商建議重新安裝水龍頭。</t>
    <phoneticPr fontId="4" type="noConversion"/>
  </si>
  <si>
    <t>03-04-02*3個</t>
    <phoneticPr fontId="4" type="noConversion"/>
  </si>
  <si>
    <t>03-04-04*3式</t>
    <phoneticPr fontId="4" type="noConversion"/>
  </si>
  <si>
    <t>04-11-02*1組</t>
    <phoneticPr fontId="4" type="noConversion"/>
  </si>
  <si>
    <r>
      <t>01-01-01*338m</t>
    </r>
    <r>
      <rPr>
        <vertAlign val="superscript"/>
        <sz val="16"/>
        <color rgb="FF000000"/>
        <rFont val="微軟正黑體"/>
        <family val="2"/>
        <charset val="136"/>
      </rPr>
      <t>2</t>
    </r>
    <phoneticPr fontId="4" type="noConversion"/>
  </si>
  <si>
    <r>
      <t>01-01-02*6m</t>
    </r>
    <r>
      <rPr>
        <vertAlign val="superscript"/>
        <sz val="16"/>
        <color rgb="FF000000"/>
        <rFont val="微軟正黑體"/>
        <family val="2"/>
        <charset val="136"/>
      </rPr>
      <t>2</t>
    </r>
    <phoneticPr fontId="4" type="noConversion"/>
  </si>
  <si>
    <r>
      <t>01-01-03*12m</t>
    </r>
    <r>
      <rPr>
        <vertAlign val="superscript"/>
        <sz val="16"/>
        <color rgb="FF000000"/>
        <rFont val="微軟正黑體"/>
        <family val="2"/>
        <charset val="136"/>
      </rPr>
      <t>2</t>
    </r>
    <phoneticPr fontId="4" type="noConversion"/>
  </si>
  <si>
    <t xml:space="preserve"> </t>
    <phoneticPr fontId="4" type="noConversion"/>
  </si>
  <si>
    <r>
      <t>01-01-01*15m</t>
    </r>
    <r>
      <rPr>
        <vertAlign val="superscript"/>
        <sz val="16"/>
        <color rgb="FF000000"/>
        <rFont val="微軟正黑體"/>
        <family val="2"/>
        <charset val="136"/>
      </rPr>
      <t>2</t>
    </r>
    <phoneticPr fontId="4" type="noConversion"/>
  </si>
  <si>
    <r>
      <t>01-01-03*3m</t>
    </r>
    <r>
      <rPr>
        <vertAlign val="superscript"/>
        <sz val="16"/>
        <color rgb="FF000000"/>
        <rFont val="微軟正黑體"/>
        <family val="2"/>
        <charset val="136"/>
      </rPr>
      <t>2</t>
    </r>
    <phoneticPr fontId="4" type="noConversion"/>
  </si>
  <si>
    <t>04-08-03*1組</t>
    <phoneticPr fontId="4" type="noConversion"/>
  </si>
  <si>
    <t>04-11-04*1只</t>
    <phoneticPr fontId="4" type="noConversion"/>
  </si>
  <si>
    <t>報修日期</t>
    <phoneticPr fontId="4" type="noConversion"/>
  </si>
  <si>
    <t>2022/3/23</t>
    <phoneticPr fontId="4" type="noConversion"/>
  </si>
  <si>
    <t>2022/3/30</t>
    <phoneticPr fontId="4" type="noConversion"/>
  </si>
  <si>
    <t>公館站9樓之10承租戶於2022/3/21來電反應室內及門口油漆有壁癌現象， 與廠商排定時間現場勘查。經廠商現場檢查，發現室內天花板與牆壁皆有壁癌現象，需刨除後重新補土 塗防水漆和水泥漆。</t>
    <phoneticPr fontId="4" type="noConversion"/>
  </si>
  <si>
    <t>03-04-02*2個</t>
    <phoneticPr fontId="4" type="noConversion"/>
  </si>
  <si>
    <t>03-04-04*2式</t>
    <phoneticPr fontId="4" type="noConversion"/>
  </si>
  <si>
    <t>2022032103001
2022032103002</t>
    <phoneticPr fontId="4" type="noConversion"/>
  </si>
  <si>
    <t>2022040102001
2022040102002</t>
    <phoneticPr fontId="4" type="noConversion"/>
  </si>
  <si>
    <t>111年04月份月結</t>
    <phoneticPr fontId="4" type="noConversion"/>
  </si>
  <si>
    <t>新北市新店區中央路161號12樓之3</t>
    <phoneticPr fontId="4" type="noConversion"/>
  </si>
  <si>
    <t>2022/4/6收到住戶聯繫，表示該戶電子鎖故障，無法使用磁卡及密碼開門。廠商現場勘察，確認是門鎖機匣故障，無法推動馬達解鎖及開鎖，建議更換新品。</t>
    <phoneticPr fontId="4" type="noConversion"/>
  </si>
  <si>
    <t>新北市新店區中央路153號(28樓之21、28樓之23、29樓之6、29樓之13、29樓之23)、161號3樓之6</t>
    <phoneticPr fontId="4" type="noConversion"/>
  </si>
  <si>
    <t>2022041202001</t>
    <phoneticPr fontId="4" type="noConversion"/>
  </si>
  <si>
    <t>新北市新店區中央路153號(29樓之6、29樓之13、29樓之23)</t>
    <phoneticPr fontId="4" type="noConversion"/>
  </si>
  <si>
    <t>現場主任巡檢時，發現有數戶大門電子鎖感應不良，經廠商勘查確認為老化導致機板、鎖匣等零件故障，須進行更新，提報戶號如下：
機板故障：153-29-23、153-29-6
鎖匣故障：153-29-13
建議拆除故障之舊鎖並更換新品。</t>
    <phoneticPr fontId="4" type="noConversion"/>
  </si>
  <si>
    <t>03-04-02*3個</t>
    <phoneticPr fontId="4" type="noConversion"/>
  </si>
  <si>
    <t>03-04-04*3式</t>
    <phoneticPr fontId="4" type="noConversion"/>
  </si>
  <si>
    <r>
      <t>01-01-01*155m</t>
    </r>
    <r>
      <rPr>
        <vertAlign val="superscript"/>
        <sz val="16"/>
        <color rgb="FF000000"/>
        <rFont val="微軟正黑體"/>
        <family val="2"/>
        <charset val="136"/>
      </rPr>
      <t>2</t>
    </r>
    <phoneticPr fontId="4" type="noConversion"/>
  </si>
  <si>
    <r>
      <t>01-01-02*17m</t>
    </r>
    <r>
      <rPr>
        <vertAlign val="superscript"/>
        <sz val="16"/>
        <color rgb="FF000000"/>
        <rFont val="微軟正黑體"/>
        <family val="2"/>
        <charset val="136"/>
      </rPr>
      <t>2</t>
    </r>
    <phoneticPr fontId="4" type="noConversion"/>
  </si>
  <si>
    <r>
      <t>現場主任巡視空屋時，確認有須修繕之況狀，提報詳細修繕項目如下：
牆面補土：153-28-21(3m</t>
    </r>
    <r>
      <rPr>
        <vertAlign val="superscript"/>
        <sz val="16"/>
        <color indexed="8"/>
        <rFont val="微軟正黑體"/>
        <family val="2"/>
        <charset val="136"/>
      </rPr>
      <t>2</t>
    </r>
    <r>
      <rPr>
        <sz val="16"/>
        <color indexed="8"/>
        <rFont val="微軟正黑體"/>
        <family val="2"/>
        <charset val="136"/>
      </rPr>
      <t>)、153-28-23(3m</t>
    </r>
    <r>
      <rPr>
        <vertAlign val="superscript"/>
        <sz val="16"/>
        <color indexed="8"/>
        <rFont val="微軟正黑體"/>
        <family val="2"/>
        <charset val="136"/>
      </rPr>
      <t>2</t>
    </r>
    <r>
      <rPr>
        <sz val="16"/>
        <color indexed="8"/>
        <rFont val="微軟正黑體"/>
        <family val="2"/>
        <charset val="136"/>
      </rPr>
      <t>)、153-29-6(5m</t>
    </r>
    <r>
      <rPr>
        <vertAlign val="superscript"/>
        <sz val="16"/>
        <color indexed="8"/>
        <rFont val="微軟正黑體"/>
        <family val="2"/>
        <charset val="136"/>
      </rPr>
      <t>2</t>
    </r>
    <r>
      <rPr>
        <sz val="16"/>
        <color indexed="8"/>
        <rFont val="微軟正黑體"/>
        <family val="2"/>
        <charset val="136"/>
      </rPr>
      <t>)、153-29-13(3m</t>
    </r>
    <r>
      <rPr>
        <vertAlign val="superscript"/>
        <sz val="16"/>
        <color indexed="8"/>
        <rFont val="微軟正黑體"/>
        <family val="2"/>
        <charset val="136"/>
      </rPr>
      <t>2</t>
    </r>
    <r>
      <rPr>
        <sz val="16"/>
        <color indexed="8"/>
        <rFont val="微軟正黑體"/>
        <family val="2"/>
        <charset val="136"/>
      </rPr>
      <t>)、153-29-23(3m</t>
    </r>
    <r>
      <rPr>
        <vertAlign val="superscript"/>
        <sz val="16"/>
        <color indexed="8"/>
        <rFont val="微軟正黑體"/>
        <family val="2"/>
        <charset val="136"/>
      </rPr>
      <t>2</t>
    </r>
    <r>
      <rPr>
        <sz val="16"/>
        <color indexed="8"/>
        <rFont val="微軟正黑體"/>
        <family val="2"/>
        <charset val="136"/>
      </rPr>
      <t>)
牆壁油漆：153-28-21(20m</t>
    </r>
    <r>
      <rPr>
        <vertAlign val="superscript"/>
        <sz val="16"/>
        <color indexed="8"/>
        <rFont val="微軟正黑體"/>
        <family val="2"/>
        <charset val="136"/>
      </rPr>
      <t>2</t>
    </r>
    <r>
      <rPr>
        <sz val="16"/>
        <color indexed="8"/>
        <rFont val="微軟正黑體"/>
        <family val="2"/>
        <charset val="136"/>
      </rPr>
      <t>)、153-28-23(25m</t>
    </r>
    <r>
      <rPr>
        <vertAlign val="superscript"/>
        <sz val="16"/>
        <color indexed="8"/>
        <rFont val="微軟正黑體"/>
        <family val="2"/>
        <charset val="136"/>
      </rPr>
      <t>2</t>
    </r>
    <r>
      <rPr>
        <sz val="16"/>
        <color indexed="8"/>
        <rFont val="微軟正黑體"/>
        <family val="2"/>
        <charset val="136"/>
      </rPr>
      <t>)、153-29-6(35m</t>
    </r>
    <r>
      <rPr>
        <vertAlign val="superscript"/>
        <sz val="16"/>
        <color indexed="8"/>
        <rFont val="微軟正黑體"/>
        <family val="2"/>
        <charset val="136"/>
      </rPr>
      <t>2</t>
    </r>
    <r>
      <rPr>
        <sz val="16"/>
        <color indexed="8"/>
        <rFont val="微軟正黑體"/>
        <family val="2"/>
        <charset val="136"/>
      </rPr>
      <t>)、153-29-13(20m</t>
    </r>
    <r>
      <rPr>
        <vertAlign val="superscript"/>
        <sz val="16"/>
        <color indexed="8"/>
        <rFont val="微軟正黑體"/>
        <family val="2"/>
        <charset val="136"/>
      </rPr>
      <t>2</t>
    </r>
    <r>
      <rPr>
        <sz val="16"/>
        <color indexed="8"/>
        <rFont val="微軟正黑體"/>
        <family val="2"/>
        <charset val="136"/>
      </rPr>
      <t>)、153-29-23(20m</t>
    </r>
    <r>
      <rPr>
        <vertAlign val="superscript"/>
        <sz val="16"/>
        <color indexed="8"/>
        <rFont val="微軟正黑體"/>
        <family val="2"/>
        <charset val="136"/>
      </rPr>
      <t>2</t>
    </r>
    <r>
      <rPr>
        <sz val="16"/>
        <color indexed="8"/>
        <rFont val="微軟正黑體"/>
        <family val="2"/>
        <charset val="136"/>
      </rPr>
      <t>)、161-3-6(35m</t>
    </r>
    <r>
      <rPr>
        <vertAlign val="superscript"/>
        <sz val="16"/>
        <color indexed="8"/>
        <rFont val="微軟正黑體"/>
        <family val="2"/>
        <charset val="136"/>
      </rPr>
      <t>2</t>
    </r>
    <r>
      <rPr>
        <sz val="16"/>
        <color indexed="8"/>
        <rFont val="微軟正黑體"/>
        <family val="2"/>
        <charset val="136"/>
      </rPr>
      <t>)
建議將牆面重新補土、補漆(2次施作方能平整上色)。</t>
    </r>
    <phoneticPr fontId="4" type="noConversion"/>
  </si>
  <si>
    <t>111年05月份月結</t>
    <phoneticPr fontId="4" type="noConversion"/>
  </si>
  <si>
    <t>2022050300001</t>
    <phoneticPr fontId="4" type="noConversion"/>
  </si>
  <si>
    <t>新北市新店區中央路153號12樓之25</t>
    <phoneticPr fontId="4" type="noConversion"/>
  </si>
  <si>
    <t>2022/5/3接獲住戶反應，陽台水龍頭有漏水的情況，請我方派員檢查。廠商現場勘查，測試陽台水龍頭漏水狀況，確定水龍頭漏水異常，建議更新水龍頭。</t>
    <phoneticPr fontId="4" type="noConversion"/>
  </si>
  <si>
    <t>04-08-09*1支</t>
    <phoneticPr fontId="4" type="noConversion"/>
  </si>
  <si>
    <t>2022050400002</t>
    <phoneticPr fontId="4" type="noConversion"/>
  </si>
  <si>
    <t>新北市新店區中央路153號22樓之13</t>
    <phoneticPr fontId="4" type="noConversion"/>
  </si>
  <si>
    <t>2022/5/3 住戶反應，浴室洗手台下方有漏水狀況，請我方派員處理。廠商現場勘察，確認為洗手台下方U管破裂導致漏水，需更新。</t>
    <phoneticPr fontId="4" type="noConversion"/>
  </si>
  <si>
    <t>04-08-02*1支</t>
    <phoneticPr fontId="4" type="noConversion"/>
  </si>
  <si>
    <t>2</t>
    <phoneticPr fontId="4" type="noConversion"/>
  </si>
  <si>
    <t>2022050400003</t>
    <phoneticPr fontId="4" type="noConversion"/>
  </si>
  <si>
    <t>新北市新店區中央路161號17樓之2</t>
    <phoneticPr fontId="4" type="noConversion"/>
  </si>
  <si>
    <t>2022/5/3 住戶反映，陽台水龍頭有漏水的情況，請我方派員檢查。廠商現場勘查，測試陽台水龍頭漏水狀況，確定水龍頭漏水異常，建議更新水龍頭。</t>
    <phoneticPr fontId="4" type="noConversion"/>
  </si>
  <si>
    <t>2022050400006</t>
    <phoneticPr fontId="4" type="noConversion"/>
  </si>
  <si>
    <t>新北市新店區中央路153號16樓之20</t>
    <phoneticPr fontId="4" type="noConversion"/>
  </si>
  <si>
    <t>2022/5/3 收到住戶聯繫，表示該戶電子鎖故障，無法使用磁卡及密碼開門。廠商現場勘察，確認是門鎖機匣故障，無法推動馬達解鎖及開鎖，建議更換新品。</t>
    <phoneticPr fontId="4" type="noConversion"/>
  </si>
  <si>
    <t>2022050400007</t>
    <phoneticPr fontId="4" type="noConversion"/>
  </si>
  <si>
    <t>新北市新店區中央路161號9樓之3</t>
    <phoneticPr fontId="4" type="noConversion"/>
  </si>
  <si>
    <t>2022/5/3 收到住戶通知，大門電子鎖故障，持續開鎖&amp;上鎖，請我方派員查看。廠商現場檢查，確認是門鎖機匣感應故障，導致馬達持續自動解鎖及上鎖，建議更新。</t>
    <phoneticPr fontId="4" type="noConversion"/>
  </si>
  <si>
    <t>公館站
(交11)</t>
    <phoneticPr fontId="4" type="noConversion"/>
  </si>
  <si>
    <t>臺北市羅斯福路4段68號9樓之3</t>
    <phoneticPr fontId="4" type="noConversion"/>
  </si>
  <si>
    <t>公館站9樓之3承租戶於2022/5/3來電反應室內電燈有故障現象，另外浴室內抽風機無法運轉，與廠商排定時間現場勘查。經廠商現場檢查，發現室內天花板輕鋼架照明燈有多處不會亮，同時浴室內抽風機由於長期使用累積過多灰塵，已無法運轉。廠商建議更換故障室內天花板輕鋼架照明燈及浴室抽風機。</t>
    <phoneticPr fontId="4" type="noConversion"/>
  </si>
  <si>
    <t>04-08-13*1組</t>
    <phoneticPr fontId="4" type="noConversion"/>
  </si>
  <si>
    <t>04-11-09*5組</t>
    <phoneticPr fontId="4" type="noConversion"/>
  </si>
  <si>
    <t>2022050900005</t>
    <phoneticPr fontId="4" type="noConversion"/>
  </si>
  <si>
    <t>新北市新店區中央路153號29樓之25</t>
  </si>
  <si>
    <t>現場主任機動巡檢時，確認有房屋須修繕之況狀（牆面有裂縫、牆面髒污）。廠商建議，將牆壁裂縫處以補土填平，並將髒汙、色差處以原始油漆顏色恢復(需兩次施作方能完整)</t>
    <phoneticPr fontId="4" type="noConversion"/>
  </si>
  <si>
    <t>2022050900007</t>
    <phoneticPr fontId="4" type="noConversion"/>
  </si>
  <si>
    <t>新北市新店區中央路161號4樓之2</t>
    <phoneticPr fontId="4" type="noConversion"/>
  </si>
  <si>
    <t>現場主任機動巡檢時，確認有房屋須修繕之況狀（牆面有裂縫、牆面髒污、電子鎖無法使用磁卡和密碼正常開鎖）。廠商建議，將牆面受損處以補土修復，並以相同顏色之油漆重新復原(須施做兩次方能完整)，電子鎖經檢查確認為機板故障，無法推動馬達解鎖，建議更新。</t>
    <phoneticPr fontId="4" type="noConversion"/>
  </si>
  <si>
    <t>2022050900008</t>
    <phoneticPr fontId="4" type="noConversion"/>
  </si>
  <si>
    <t>新北市新店區中央路161號11樓之1</t>
    <phoneticPr fontId="4" type="noConversion"/>
  </si>
  <si>
    <t>現場主任機動巡檢時，確認有房屋須修繕之況狀（牆面有裂縫、牆面髒污、電子鎖無法用磁卡或密碼順利解鎖）。廠商建議將牆面破損處以補土填平，並用相同顏色油漆將室內色差、髒污處復原(需施作兩次方能完整)， 電子鎖經檢測為機板故障，無法推動馬達解鎖，建議更新。</t>
    <phoneticPr fontId="4" type="noConversion"/>
  </si>
  <si>
    <t>2022050900009</t>
    <phoneticPr fontId="4" type="noConversion"/>
  </si>
  <si>
    <t>新北市新店區中央路161號13樓之1</t>
    <phoneticPr fontId="4" type="noConversion"/>
  </si>
  <si>
    <t>現場主任機動巡檢時，確認有房屋須修繕之況狀（牆面有裂縫、牆面髒污、淋浴龍頭和面盆龍頭使用時會漏水、電子鎖無法用磁卡或密碼順利解鎖）。廠商建議，將牆面受損處以補土修復，並以相同顏色之油漆重新復原(須施做兩次方能完整)，並更換漏水之面盆、淋浴龍頭。</t>
    <phoneticPr fontId="4" type="noConversion"/>
  </si>
  <si>
    <t>2022050900010</t>
    <phoneticPr fontId="4" type="noConversion"/>
  </si>
  <si>
    <t>新北市新店區中央路161號17樓之1</t>
  </si>
  <si>
    <t>現場主任機動巡檢時，確認有房屋須修繕之況狀（牆面髒污、電子鎖無法用磁卡或密碼順利開啟）。廠商建議，將牆面髒污處以相同顏色之油漆重新復原(須施做兩次方能完整)、電子鎖經檢測為機板故障，無法推動馬達解鎖，建議更新。</t>
    <phoneticPr fontId="4" type="noConversion"/>
  </si>
  <si>
    <t>2022050900011</t>
    <phoneticPr fontId="4" type="noConversion"/>
  </si>
  <si>
    <t>新北市新店區中央路161號17樓之5</t>
  </si>
  <si>
    <t>現場主任機動巡檢時，確認有房屋須修繕之況狀（牆面有裂縫、牆面髒污、面盆排水管斷裂）。廠商建議，將牆面受損處以補土修復，並以相同顏色之油漆重新復原(須施做兩次方能完整)，並更換面盆排水管。</t>
    <phoneticPr fontId="4" type="noConversion"/>
  </si>
  <si>
    <t xml:space="preserve">新店機廠站
(捷17、18、19) </t>
    <phoneticPr fontId="4" type="noConversion"/>
  </si>
  <si>
    <t>新北市新店區中央路161號18樓</t>
    <phoneticPr fontId="4" type="noConversion"/>
  </si>
  <si>
    <t>現場主任機動巡檢時，確認有房屋須修繕之況狀（牆面有裂縫、牆面髒污）。廠商建議，將牆面受損處以補土修復，並以相同顏色之油漆重新復原(須施做兩次方能完整)。</t>
    <phoneticPr fontId="4" type="noConversion"/>
  </si>
  <si>
    <t>2022050900013</t>
    <phoneticPr fontId="4" type="noConversion"/>
  </si>
  <si>
    <t>新北市新店區中央路161號18樓之2</t>
    <phoneticPr fontId="4" type="noConversion"/>
  </si>
  <si>
    <t>2022050900014</t>
    <phoneticPr fontId="4" type="noConversion"/>
  </si>
  <si>
    <t>新北市新店區中央路161號19樓之3</t>
    <phoneticPr fontId="4" type="noConversion"/>
  </si>
  <si>
    <t>現場主任機動巡檢時，確認有房屋須修繕之況狀（牆面有裂縫、牆面髒污、面盆龍頭把手故障）。廠商建議，將牆面受損處以補土修復，並以相同顏色之油漆重新復原(須施做兩次方能完整)，並更新面盆龍頭。</t>
    <phoneticPr fontId="4" type="noConversion"/>
  </si>
  <si>
    <t>2022050900015</t>
    <phoneticPr fontId="4" type="noConversion"/>
  </si>
  <si>
    <t>新北市新店區中央路161號20樓之2</t>
    <phoneticPr fontId="4" type="noConversion"/>
  </si>
  <si>
    <t>現場主任機動巡檢時，確認有房屋須修繕之況狀（牆面有裂縫、牆面髒污、電子鎖無法使用磁卡和密碼正常開鎖，淋浴蓮蓬頭有漏水狀況、面盆龍頭把手零件斷裂）。廠商建議，將牆面受損處以補土修復，並以相同顏色之油漆重新復原(須施做兩次方能完整)，面盆、淋浴龍頭建議更新。電子鎖經檢查確認為機板故障，無法推動馬達解鎖，建議更新。</t>
    <phoneticPr fontId="4" type="noConversion"/>
  </si>
  <si>
    <t>01-01-01*55㎡</t>
    <phoneticPr fontId="4" type="noConversion"/>
  </si>
  <si>
    <t>01-01-02*15㎡</t>
    <phoneticPr fontId="4" type="noConversion"/>
  </si>
  <si>
    <t>01-01-01*85㎡</t>
    <phoneticPr fontId="4" type="noConversion"/>
  </si>
  <si>
    <t>01-01-02*8㎡</t>
    <phoneticPr fontId="4" type="noConversion"/>
  </si>
  <si>
    <t>01-01-01*30㎡</t>
    <phoneticPr fontId="4" type="noConversion"/>
  </si>
  <si>
    <t>01-01-02*5㎡</t>
    <phoneticPr fontId="4" type="noConversion"/>
  </si>
  <si>
    <t>04-06-01*1組</t>
    <phoneticPr fontId="4" type="noConversion"/>
  </si>
  <si>
    <t>04-08-04*1組</t>
    <phoneticPr fontId="4" type="noConversion"/>
  </si>
  <si>
    <t>01-01-01*50㎡</t>
    <phoneticPr fontId="4" type="noConversion"/>
  </si>
  <si>
    <t>01-01-01*70㎡</t>
    <phoneticPr fontId="4" type="noConversion"/>
  </si>
  <si>
    <t>01-01-02*7㎡</t>
    <phoneticPr fontId="4" type="noConversion"/>
  </si>
  <si>
    <t>04-08-02*1組</t>
    <phoneticPr fontId="4" type="noConversion"/>
  </si>
  <si>
    <t>01-01-02*15㎡</t>
    <phoneticPr fontId="4" type="noConversion"/>
  </si>
  <si>
    <t>01-01-01*150㎡</t>
    <phoneticPr fontId="4" type="noConversion"/>
  </si>
  <si>
    <t>04-06-01*1組</t>
    <phoneticPr fontId="4" type="noConversion"/>
  </si>
  <si>
    <t>01-01-01*35㎡</t>
    <phoneticPr fontId="4" type="noConversion"/>
  </si>
  <si>
    <t>2022051100003</t>
    <phoneticPr fontId="4" type="noConversion"/>
  </si>
  <si>
    <t>新北市新店區中央路153號13樓之21</t>
  </si>
  <si>
    <t>2022/5/11 收到住戶通知，大門電子鎖故障，無法使用密碼及磁卡正常開門，請我方派員查看。廠商現場檢查，確認是門鎖機匣感應故障，無法順利解鎖門舌開門，建議更新。</t>
    <phoneticPr fontId="4" type="noConversion"/>
  </si>
  <si>
    <t>新北市新店區中央路153號(29樓之25)、161號(13樓之1、17樓之1、18樓、18樓之2、19樓之3、20樓之2)</t>
    <phoneticPr fontId="4" type="noConversion"/>
  </si>
  <si>
    <t>現場主任機動巡查時，發現有項目須修繕，提報內容如下：
馬桶蓋氧化髒汙 / 損壞：161號18樓本號、161號18樓之2、161號19樓之3、161號20樓之2
門禁磁卡失效：153號29樓之25、161號13樓之1、161號19樓之3
戶內房門水平鎖鎖孔內結構老化，鑰匙容易卡在鎖孔內難以開門：161號13樓之1
浴櫃絞鍊潮濕/老化導致無法正常使用：161號17樓之1一個、161號18樓本號兩個、161號19樓之3四個
建議將故障之馬桶蓋、水平鎖、絞鍊更新，並向管理中心申請新的磁卡。</t>
    <phoneticPr fontId="4" type="noConversion"/>
  </si>
  <si>
    <t>新店站
(捷24、25、26、27)</t>
    <phoneticPr fontId="4" type="noConversion"/>
  </si>
  <si>
    <t>新北市新店區新店路258之1號13樓</t>
    <phoneticPr fontId="4" type="noConversion"/>
  </si>
  <si>
    <t>碧潭有約258-1號13棲住戶於5/22來電，表示馬桶於未使用時有持續漏水現象，請我方派員檢查。經現場勘查，發現馬桶水箱零件由於老化而彈性疲乏，導致漏水，廠商建議更換水箱零件。</t>
    <phoneticPr fontId="4" type="noConversion"/>
  </si>
  <si>
    <t>03-03-03*1只</t>
    <phoneticPr fontId="4" type="noConversion"/>
  </si>
  <si>
    <t>03-04-01*3個</t>
    <phoneticPr fontId="4" type="noConversion"/>
  </si>
  <si>
    <t>04-07-02*1只</t>
    <phoneticPr fontId="4" type="noConversion"/>
  </si>
  <si>
    <t>04-07-03*4只</t>
    <phoneticPr fontId="4" type="noConversion"/>
  </si>
  <si>
    <t>04-09-01*7只</t>
    <phoneticPr fontId="4" type="noConversion"/>
  </si>
  <si>
    <t>提報日期</t>
    <phoneticPr fontId="4" type="noConversion"/>
  </si>
  <si>
    <t>111年06月份月結</t>
    <phoneticPr fontId="4" type="noConversion"/>
  </si>
  <si>
    <t>新店站
(捷24、25、26、27)</t>
  </si>
  <si>
    <t>2022062200002</t>
    <phoneticPr fontId="4" type="noConversion"/>
  </si>
  <si>
    <r>
      <t>01-01-01*10m</t>
    </r>
    <r>
      <rPr>
        <vertAlign val="superscript"/>
        <sz val="16"/>
        <color rgb="FF000000"/>
        <rFont val="微軟正黑體"/>
        <family val="2"/>
        <charset val="136"/>
      </rPr>
      <t>2</t>
    </r>
    <phoneticPr fontId="4" type="noConversion"/>
  </si>
  <si>
    <r>
      <t>01-01-03*5m</t>
    </r>
    <r>
      <rPr>
        <vertAlign val="superscript"/>
        <sz val="16"/>
        <color rgb="FF000000"/>
        <rFont val="微軟正黑體"/>
        <family val="2"/>
        <charset val="136"/>
      </rPr>
      <t>2</t>
    </r>
    <phoneticPr fontId="4" type="noConversion"/>
  </si>
  <si>
    <t>新北市新店區北宜路一段8號10樓</t>
    <phoneticPr fontId="4" type="noConversion"/>
  </si>
  <si>
    <t>新北市新店區中央路153號25樓之10</t>
    <phoneticPr fontId="4" type="noConversion"/>
  </si>
  <si>
    <t>2022/6/22 收到住戶通知，大門電子鎖故障，無法使用密碼及磁卡正常開門，請我方派員查看。廠商現場檢查，確認是門鎖機匣感應故障，無法順利解鎖門舌開門，建議更新。</t>
    <phoneticPr fontId="4" type="noConversion"/>
  </si>
  <si>
    <t>03-04-02*1個</t>
    <phoneticPr fontId="4" type="noConversion"/>
  </si>
  <si>
    <t>03-04-04*1式</t>
    <phoneticPr fontId="4" type="noConversion"/>
  </si>
  <si>
    <t>碧潭有約(新店區北宜路一段8號10樓)承租戶來電反應主臥室室內有嚴重壁癌問題，請我方派員勘查。經現場勘查，發現臥室牆壁由於長期濕氣累積，產生壁癌現象與大量霉斑，建議刮除後重新塗抹防水漆及油漆。</t>
    <phoneticPr fontId="4" type="noConversion"/>
  </si>
  <si>
    <t>111年07月份月結</t>
    <phoneticPr fontId="4" type="noConversion"/>
  </si>
  <si>
    <t>3</t>
    <phoneticPr fontId="4" type="noConversion"/>
  </si>
  <si>
    <t>7</t>
    <phoneticPr fontId="4" type="noConversion"/>
  </si>
  <si>
    <t>公館站
(交11)</t>
    <phoneticPr fontId="4" type="noConversion"/>
  </si>
  <si>
    <t>台北市羅斯福路4段68號9樓之7</t>
    <phoneticPr fontId="4" type="noConversion"/>
  </si>
  <si>
    <t>新北市新店區中央路153號18樓之1</t>
    <phoneticPr fontId="4" type="noConversion"/>
  </si>
  <si>
    <t>新北市新店區中央路153號28樓之10</t>
    <phoneticPr fontId="4" type="noConversion"/>
  </si>
  <si>
    <t>新北市新店區中央路153號24樓之8</t>
    <phoneticPr fontId="4" type="noConversion"/>
  </si>
  <si>
    <t>新北市新店區中央路153號28樓之2</t>
    <phoneticPr fontId="4" type="noConversion"/>
  </si>
  <si>
    <t>新北市新店區中央路153號24樓之16</t>
    <phoneticPr fontId="4" type="noConversion"/>
  </si>
  <si>
    <t>新北市新店區中央路161號19樓之2</t>
    <phoneticPr fontId="4" type="noConversion"/>
  </si>
  <si>
    <t>2022/7/1 收到住戶通知，大門電子鎖故障，無法使用密碼及磁卡正常開門，請我方派員查看。廠商現場檢查，確認是門鎖機匣感應故障，無法順利解鎖門舌開門，建議更新。</t>
    <phoneticPr fontId="4" type="noConversion"/>
  </si>
  <si>
    <t>公館站9樓之7承租戶於2022/7/4來電反應室內馬桶有故障及漏水現象，此外浴室抽風機及室內緊急照明燈亦有故障現象，請我方派員勘查。經廠商現場勘察，發現馬桶水箱由於零件老化而無法止水，馬桶沖水器亦有故障現象無法按壓；馬桶進水口處之三角凡而因生鏽導致漏水；浴室抽風機及緊急照明燈經勘查確認功能失效，建議立即更換。</t>
    <phoneticPr fontId="4" type="noConversion"/>
  </si>
  <si>
    <t>2022/7/7 住戶反應，浴室洗手台下方有漏水狀況，請我方派員處理。廠商現場勘察，確認為洗手台下方U管破裂導致漏水，需更新。</t>
    <phoneticPr fontId="4" type="noConversion"/>
  </si>
  <si>
    <t>2022/7/11 收到住戶通知，大門電子鎖故障，無法使用密碼及磁卡正常開門，請我方派員查看。廠商現場檢查，確認是門鎖機匣感應故障，無法順利解鎖門舌開門，建議更新。</t>
    <phoneticPr fontId="4" type="noConversion"/>
  </si>
  <si>
    <t>2022/7/13收到住戶通知，大門電子鎖故障，無法使用密碼及磁卡正常開門，請我方派員查看。廠商現場檢查，確認是門鎖機匣感應故障，無法順利解鎖門舌開門，建議更新。</t>
    <phoneticPr fontId="4" type="noConversion"/>
  </si>
  <si>
    <t>04-07-02*2只</t>
    <phoneticPr fontId="4" type="noConversion"/>
  </si>
  <si>
    <t>04-08-11*1只</t>
    <phoneticPr fontId="4" type="noConversion"/>
  </si>
  <si>
    <t>04-08-13*1組</t>
    <phoneticPr fontId="4" type="noConversion"/>
  </si>
  <si>
    <t>04-11-05*1只</t>
    <phoneticPr fontId="4" type="noConversion"/>
  </si>
  <si>
    <t>住戶於7/13告知浴櫃絞鍊潮濕/老化導致無法正常使用，請我方盡速前往處理。建議將故障之絞鍊更新。</t>
    <phoneticPr fontId="4" type="noConversion"/>
  </si>
  <si>
    <t>04-08-02*1組</t>
    <phoneticPr fontId="4" type="noConversion"/>
  </si>
  <si>
    <t>03-04-02*1個</t>
    <phoneticPr fontId="4" type="noConversion"/>
  </si>
  <si>
    <t>04-09-01*2只</t>
    <phoneticPr fontId="4" type="noConversion"/>
  </si>
  <si>
    <t>111年08月份月結</t>
    <phoneticPr fontId="4" type="noConversion"/>
  </si>
  <si>
    <t>七張站
(捷10、11)</t>
    <phoneticPr fontId="4" type="noConversion"/>
  </si>
  <si>
    <t>新北市新店區北新路2段128號2樓</t>
    <phoneticPr fontId="4" type="noConversion"/>
  </si>
  <si>
    <t>馬林商場許經理來電表示，七張站一樓至二樓手扶梯扶手帶有破損狀況，立即通知廠商現場勘查。廠商現場勘察，發現手扶梯扶手帶已嚴重破損，影響乘客使用，廠商建議更換新品。</t>
    <phoneticPr fontId="4" type="noConversion"/>
  </si>
  <si>
    <t>06-05-01*1條</t>
    <phoneticPr fontId="4" type="noConversion"/>
  </si>
  <si>
    <t>新北市新店區中央路153號29樓之18</t>
    <phoneticPr fontId="4" type="noConversion"/>
  </si>
  <si>
    <r>
      <t>01-01-02*20m</t>
    </r>
    <r>
      <rPr>
        <vertAlign val="superscript"/>
        <sz val="16"/>
        <color rgb="FF000000"/>
        <rFont val="微軟正黑體"/>
        <family val="2"/>
        <charset val="136"/>
      </rPr>
      <t>2</t>
    </r>
    <phoneticPr fontId="4" type="noConversion"/>
  </si>
  <si>
    <r>
      <t>01-01-03*7m</t>
    </r>
    <r>
      <rPr>
        <vertAlign val="superscript"/>
        <sz val="16"/>
        <color rgb="FF000000"/>
        <rFont val="微軟正黑體"/>
        <family val="2"/>
        <charset val="136"/>
      </rPr>
      <t>2</t>
    </r>
    <phoneticPr fontId="4" type="noConversion"/>
  </si>
  <si>
    <t>03-04-02*3個</t>
    <phoneticPr fontId="4" type="noConversion"/>
  </si>
  <si>
    <t>03-04-04*3式</t>
    <phoneticPr fontId="4" type="noConversion"/>
  </si>
  <si>
    <t>04-06-01*1組</t>
    <phoneticPr fontId="4" type="noConversion"/>
  </si>
  <si>
    <t>04-08-09*1支</t>
    <phoneticPr fontId="4" type="noConversion"/>
  </si>
  <si>
    <t>台北市羅斯福路4段68號9樓之11</t>
    <phoneticPr fontId="4" type="noConversion"/>
  </si>
  <si>
    <t>公館站9-11承租戶易享科技吳先生來電，表示流理台之水龍頭有漏水現象，請我方派員勘查。經現場勘查，發現流理台水龍頭由於橡皮老化導致水從把手處流出，使出水功能失效，建議更換水龍頭。</t>
    <phoneticPr fontId="4" type="noConversion"/>
  </si>
  <si>
    <t>04-05-02*1組</t>
    <phoneticPr fontId="4" type="noConversion"/>
  </si>
  <si>
    <r>
      <t>01-01-01*516m</t>
    </r>
    <r>
      <rPr>
        <vertAlign val="superscript"/>
        <sz val="16"/>
        <color rgb="FF000000"/>
        <rFont val="微軟正黑體"/>
        <family val="2"/>
        <charset val="136"/>
      </rPr>
      <t>2</t>
    </r>
    <phoneticPr fontId="4" type="noConversion"/>
  </si>
  <si>
    <t>現場主任機動巡查時，發現有項目須修繕，提報內容如下：
153號26樓之2：牆面有裂縫、髒汙(詳維修前照片1~6)。電子鎖異常、無法使用磁卡或密碼開門(詳維修前照片7~8)。
153號26樓之12：牆面有裂縫、髒汙(詳維修前照片9~14)。陽台水龍頭使用中漏水(詳維修前照片15~16)。
153號28樓之3：牆面有裂縫、髒汙(詳維修前照片17~23)。
153號28樓之12：牆面有裂縫、髒汙(詳維修前照片24~28)。電子鎖異常、無法使用磁卡或密碼開門(詳維修前照片29~30)。
153號29樓之8：牆面有裂縫、髒汙(詳維修前照片31~35)。
153號29樓之18：牆面有裂縫、髒汙(詳維修前照片36~42)。淋浴龍頭使用中漏水(詳維修前照片43~44)。
161號17樓之6：牆面有裂縫、髒汙(詳維修前照片45~51)。電子鎖異常、無法使用磁卡或密碼開門(詳維修前照片52~53)。
廠商建議將故障之電子鎖(機匣故障)、陽台水龍頭、淋浴龍頭更新，以及將牆面受損處以補土修復，並以相同顏色之油漆重新復原(須大範圍施做兩次方能完整)。</t>
    <phoneticPr fontId="4" type="noConversion"/>
  </si>
  <si>
    <t>111年09月份月結</t>
    <phoneticPr fontId="4" type="noConversion"/>
  </si>
  <si>
    <t xml:space="preserve">新店機廠站
(捷17、18、19) </t>
    <phoneticPr fontId="4" type="noConversion"/>
  </si>
  <si>
    <t>新北市新店區中央路161號14樓之1</t>
    <phoneticPr fontId="4" type="noConversion"/>
  </si>
  <si>
    <r>
      <t>01-01-01*85m</t>
    </r>
    <r>
      <rPr>
        <vertAlign val="superscript"/>
        <sz val="16"/>
        <color rgb="FF000000"/>
        <rFont val="微軟正黑體"/>
        <family val="2"/>
        <charset val="136"/>
      </rPr>
      <t>2</t>
    </r>
    <phoneticPr fontId="4" type="noConversion"/>
  </si>
  <si>
    <r>
      <t>01-01-02*3m</t>
    </r>
    <r>
      <rPr>
        <vertAlign val="superscript"/>
        <sz val="16"/>
        <color rgb="FF000000"/>
        <rFont val="微軟正黑體"/>
        <family val="2"/>
        <charset val="136"/>
      </rPr>
      <t>2</t>
    </r>
    <phoneticPr fontId="4" type="noConversion"/>
  </si>
  <si>
    <r>
      <t>01-01-03*3m</t>
    </r>
    <r>
      <rPr>
        <vertAlign val="superscript"/>
        <sz val="16"/>
        <color rgb="FF000000"/>
        <rFont val="微軟正黑體"/>
        <family val="2"/>
        <charset val="136"/>
      </rPr>
      <t>2</t>
    </r>
    <phoneticPr fontId="4" type="noConversion"/>
  </si>
  <si>
    <t>收到承租人反應，室內牆面有多處非人為產生之發霉髒污，請我方派人前往查看。廠商至現場查看，確認是因為建物靠河，濕氣較重，易導致壁面發霉，建議將壁面發霉處重新以油漆刷塗兩道、以補土修補裂縫、並以防水漆加強發霉嚴重處。</t>
    <phoneticPr fontId="4" type="noConversion"/>
  </si>
  <si>
    <t>公館站
(交11)</t>
  </si>
  <si>
    <t>04-06-01*1組</t>
    <phoneticPr fontId="4" type="noConversion"/>
  </si>
  <si>
    <t>04-11-04*1只</t>
    <phoneticPr fontId="4" type="noConversion"/>
  </si>
  <si>
    <t>05-03-02*4m</t>
    <phoneticPr fontId="4" type="noConversion"/>
  </si>
  <si>
    <t>臺北市羅斯福路4段68號9樓之1</t>
    <phoneticPr fontId="4" type="noConversion"/>
  </si>
  <si>
    <t>公館站9樓之1承租人羅小姐來電，表示浴室電燈開關有短路現象，同時浴室蓮蓬頭已因生鏽而鬆脫，請我方派員查看。經廠商現場勘查，發現浴室蓮蓬頭因出水管及接頭老化生鏽導致蓮蓬頭掉落，現已無沖水功能，需更換蓮蓬頭。此外浴室電燈星光開關有短路現象，開關時亮時滅，LED燈泡亦故障失效，需更換LED燈泡及進行斷路查修。</t>
    <phoneticPr fontId="4" type="noConversion"/>
  </si>
  <si>
    <t>111年10月份月結</t>
    <phoneticPr fontId="4" type="noConversion"/>
  </si>
  <si>
    <t>公館站
(交11)</t>
    <phoneticPr fontId="4" type="noConversion"/>
  </si>
  <si>
    <t>台北市中正區羅斯福路4段68號9樓之7</t>
    <phoneticPr fontId="4" type="noConversion"/>
  </si>
  <si>
    <t>新店站
(捷24、25、26、27)</t>
    <phoneticPr fontId="4" type="noConversion"/>
  </si>
  <si>
    <t>新北市新店區北宜路一段8之5號10樓</t>
    <phoneticPr fontId="4" type="noConversion"/>
  </si>
  <si>
    <t xml:space="preserve">新店機廠站
(捷17、18、19) </t>
    <phoneticPr fontId="4" type="noConversion"/>
  </si>
  <si>
    <t>新北市新店區中央路161號14樓之3</t>
    <phoneticPr fontId="4" type="noConversion"/>
  </si>
  <si>
    <t>新北市新店區中央路161號12樓之3</t>
    <phoneticPr fontId="4" type="noConversion"/>
  </si>
  <si>
    <t>公館站9樓之7承租戶來電，表示陽台兩扇紗窗皆有破洞，導致常有蚊蟲飛入，並且紗門難以推動，請我方派員查看。經廠商現場勘查，發現室內通往陽台之兩扇鋁紗門皆有破洞現象，其中一扇須更新紗網及調整檢修門框，另一扇因長期使用導致門框歪斜，需進行鋁紗門扇更新。</t>
  </si>
  <si>
    <t>碧潭有約北宜路一段8-5號10樓住戶來電，表示浴室蓮蓬頭無法出水，請我方派員查看。經廠商現場勘查，發現浴室沐浴蓮蓬頭無法出水，且有水龍頭由於老化有漏水現象，建議更換整組沐浴龍頭。</t>
  </si>
  <si>
    <t>收到承租人反應，浴室馬桶蓋損壞嚴重、抽油煙機的燈泡照明失效，請我方派員檢查。經廠商現場檢查，馬桶蓋因長期使用而老舊破損，破損邊緣銳利有割傷的風險，建議更新，抽油煙機LED照明燈泡故障，建議更新。</t>
  </si>
  <si>
    <t>收到住戶反應，浴室洗手台排水管有漏水的狀況，且浴櫃門難以開關，請我方派員查看。經廠商查看，確認排水管因老舊而產生裂隙，使用時會持續漏水。浴櫃緩衝絞鍊因環境潮濕，已老化腐蝕，無法發揮正常功能，建議更新排水管與緩衝絞鍊。</t>
  </si>
  <si>
    <t>03-01-06*1扇</t>
    <phoneticPr fontId="4" type="noConversion"/>
  </si>
  <si>
    <t>03-02-02*20才</t>
    <phoneticPr fontId="4" type="noConversion"/>
  </si>
  <si>
    <t>03-02-03*20才</t>
    <phoneticPr fontId="4" type="noConversion"/>
  </si>
  <si>
    <t>04-06-02*1組</t>
    <phoneticPr fontId="4" type="noConversion"/>
  </si>
  <si>
    <t>04-11-01*1只</t>
    <phoneticPr fontId="4" type="noConversion"/>
  </si>
  <si>
    <t>04-07-03*1只</t>
    <phoneticPr fontId="4" type="noConversion"/>
  </si>
  <si>
    <t>04-08-02*1組</t>
    <phoneticPr fontId="4" type="noConversion"/>
  </si>
  <si>
    <t>04-09-01*2只</t>
    <phoneticPr fontId="4" type="noConversion"/>
  </si>
  <si>
    <t>111年11月份月結</t>
    <phoneticPr fontId="4" type="noConversion"/>
  </si>
  <si>
    <r>
      <t>01-01-01*10m</t>
    </r>
    <r>
      <rPr>
        <vertAlign val="superscript"/>
        <sz val="16"/>
        <color rgb="FF000000"/>
        <rFont val="微軟正黑體"/>
        <family val="2"/>
        <charset val="136"/>
      </rPr>
      <t>2</t>
    </r>
    <phoneticPr fontId="4" type="noConversion"/>
  </si>
  <si>
    <r>
      <t>01-01-02*5m</t>
    </r>
    <r>
      <rPr>
        <vertAlign val="superscript"/>
        <sz val="16"/>
        <color rgb="FF000000"/>
        <rFont val="微軟正黑體"/>
        <family val="2"/>
        <charset val="136"/>
      </rPr>
      <t>2</t>
    </r>
    <phoneticPr fontId="4" type="noConversion"/>
  </si>
  <si>
    <t>收到承租人反應，大門電子鎖功能異常，無法使用磁卡解鎖開門。經廠商現場檢查，確認是門鎖機板故障，無法推動門舌解鎖，建議更新電子鎖。</t>
    <phoneticPr fontId="4" type="noConversion"/>
  </si>
  <si>
    <t>新北市新店區中央路153號9樓之6</t>
    <phoneticPr fontId="4" type="noConversion"/>
  </si>
  <si>
    <t>收到承租人反應，陽台水龍頭有漏水的狀況，請我方派員檢查。經廠商現場勘察，確認是陽台水龍頭零件老化，導致水從零件中滲出，建議更新。</t>
    <phoneticPr fontId="4" type="noConversion"/>
  </si>
  <si>
    <t>新北市新店區中央路153號14樓之1</t>
    <phoneticPr fontId="4" type="noConversion"/>
  </si>
  <si>
    <t>收到承租人反應，馬桶水箱無法蓄水，請我方派員查看。經廠商檢查，確認是水箱零件老化，導致無法完全止水，建議更新零件。</t>
    <phoneticPr fontId="4" type="noConversion"/>
  </si>
  <si>
    <t>新北市新店區中央路161號13樓</t>
    <phoneticPr fontId="4" type="noConversion"/>
  </si>
  <si>
    <t>收到承租人反應，地震後牆面出現裂痕，請我派員查看。經廠商查看，屋內牆面因地震後產生小範圍破損，建議修補。</t>
    <phoneticPr fontId="4" type="noConversion"/>
  </si>
  <si>
    <t>新北市新店區中央路153號27樓</t>
    <phoneticPr fontId="4" type="noConversion"/>
  </si>
  <si>
    <t>收到承租人反應，馬桶蓋邊緣破損，請我方前往檢修。經廠商現場檢查，確認馬桶蓋內側邊緣已氧化剝落，表面已不平整恐有受傷風險，建議更新。</t>
    <phoneticPr fontId="4" type="noConversion"/>
  </si>
  <si>
    <t>新北市新店區中央路161號12樓之5</t>
    <phoneticPr fontId="4" type="noConversion"/>
  </si>
  <si>
    <t>新北市新店區中央路161號17樓之7</t>
    <phoneticPr fontId="4" type="noConversion"/>
  </si>
  <si>
    <t>新北市新店區中央路153號28樓之15</t>
    <phoneticPr fontId="4" type="noConversion"/>
  </si>
  <si>
    <t>收到承租人反應，大門電子鎖使用磁卡時感應不良，無法順利解鎖大門。經廠商現場檢查，確認是電子鎖機板故障，無法順利推動馬達解鎖，建議更新電子鎖。</t>
    <phoneticPr fontId="4" type="noConversion"/>
  </si>
  <si>
    <t>收到承租人反應，大門電子鎖感應不良，無法使用磁卡順利解鎖。經廠商現場檢查，確認是電子鎖機板故障，無法推動馬達解鎖，建議更新電子鎖。</t>
    <phoneticPr fontId="4" type="noConversion"/>
  </si>
  <si>
    <t>03-04-02*1個</t>
    <phoneticPr fontId="4" type="noConversion"/>
  </si>
  <si>
    <t>03-04-04*1式</t>
    <phoneticPr fontId="4" type="noConversion"/>
  </si>
  <si>
    <t>111年12月份月結</t>
    <phoneticPr fontId="4" type="noConversion"/>
  </si>
  <si>
    <t xml:space="preserve">新店機廠站
(捷17、18、19) </t>
    <phoneticPr fontId="4" type="noConversion"/>
  </si>
  <si>
    <t xml:space="preserve">新店機廠站
(捷17、18、19) </t>
    <phoneticPr fontId="4" type="noConversion"/>
  </si>
  <si>
    <t>新北市新店區中央路161號3樓之5</t>
    <phoneticPr fontId="4" type="noConversion"/>
  </si>
  <si>
    <r>
      <t>01-01-01*1780m</t>
    </r>
    <r>
      <rPr>
        <vertAlign val="superscript"/>
        <sz val="16"/>
        <color rgb="FF000000"/>
        <rFont val="微軟正黑體"/>
        <family val="2"/>
        <charset val="136"/>
      </rPr>
      <t>2</t>
    </r>
    <phoneticPr fontId="4" type="noConversion"/>
  </si>
  <si>
    <r>
      <t>01-01-02*31m</t>
    </r>
    <r>
      <rPr>
        <vertAlign val="superscript"/>
        <sz val="16"/>
        <color rgb="FF000000"/>
        <rFont val="微軟正黑體"/>
        <family val="2"/>
        <charset val="136"/>
      </rPr>
      <t>2</t>
    </r>
    <phoneticPr fontId="4" type="noConversion"/>
  </si>
  <si>
    <t>03-04-01*9個</t>
    <phoneticPr fontId="4" type="noConversion"/>
  </si>
  <si>
    <t>03-04-02*3個</t>
    <phoneticPr fontId="4" type="noConversion"/>
  </si>
  <si>
    <t>03-04-04*3式</t>
    <phoneticPr fontId="4" type="noConversion"/>
  </si>
  <si>
    <t>04-06-01*3組</t>
    <phoneticPr fontId="4" type="noConversion"/>
  </si>
  <si>
    <t>04-07-03*2只</t>
    <phoneticPr fontId="4" type="noConversion"/>
  </si>
  <si>
    <t>04-08-09*14支</t>
    <phoneticPr fontId="4" type="noConversion"/>
  </si>
  <si>
    <t>新北市新店區中央路153號21樓之7</t>
    <phoneticPr fontId="4" type="noConversion"/>
  </si>
  <si>
    <t>收到承租人反應，大門電子鎖功能異常，無法使用磁卡解鎖開門。經廠商現場檢查，確認是電子鎖機板故障，無法順利推動馬達解鎖，建議更新電子鎖。</t>
    <phoneticPr fontId="4" type="noConversion"/>
  </si>
  <si>
    <t>03-04-02*1個</t>
    <phoneticPr fontId="4" type="noConversion"/>
  </si>
  <si>
    <t>03-04-04*1式</t>
    <phoneticPr fontId="4" type="noConversion"/>
  </si>
  <si>
    <t>公館站
(交11)</t>
    <phoneticPr fontId="4" type="noConversion"/>
  </si>
  <si>
    <t>臺北市羅斯福路4段68號8樓之13</t>
    <phoneticPr fontId="4" type="noConversion"/>
  </si>
  <si>
    <t>新北市新店區中央路153號21樓之11</t>
    <phoneticPr fontId="4" type="noConversion"/>
  </si>
  <si>
    <t>新北市新店區中央路153號10樓之15</t>
    <phoneticPr fontId="4" type="noConversion"/>
  </si>
  <si>
    <t>收到承租人來電報修，浴室面盆水龍頭有漏水情形，請我方派員查看。經廠商檢查，發現面盆水龍頭內軟管老化導致持續漏水，建議立即更新面盆龍頭。</t>
    <phoneticPr fontId="4" type="noConversion"/>
  </si>
  <si>
    <t>現場主任巡視空屋時，發現有須修繕項目，提報如下：
153號27樓之19：牆面油漆、牆面補土、陽台水龍頭更新、馬桶蓋更新。
153號27樓之25：牆面油漆、牆面補土、電子鎖檢修、電子鎖更新、陽台水龍頭更新、感應卡更新。
161號3樓之5：牆面油漆、牆面補土、電子鎖檢修、電子鎖更新、感應卡
161號6樓之5：牆面油漆、牆面補土。
161號6樓之6：牆面油漆、淋浴龍頭更新、陽台水龍頭更新。
161號7樓之1：牆面油漆、牆面補土、陽台水龍頭更新、感應卡更新。
161號9樓之5：牆面油漆、牆面補土。
161號10樓之2：牆面油漆、牆面補土。
161號14樓之6：牆面油漆、陽台水龍頭更新、感應卡更新。
161號15樓之2：牆面油漆、牆面補土、淋浴龍頭更新、陽台水龍頭更新、馬桶蓋更新、感應卡更新。
161號16樓之1：牆面油漆、電子鎖檢修、電子鎖更新。
161號16樓之6：牆面油漆、牆面補土、淋浴龍頭更新、陽台水龍頭更新、感應卡。
161號21樓之2：牆面油漆、牆面補土、陽台水龍頭更新、感應卡更新。
經廠商確認現場狀況，建議將受損之油漆補土復原、漏水之淋浴龍頭/陽台水龍頭更新、更換損換之電子鎖(機匣鎖舌故障)、更新感應不良之磁卡。</t>
    <phoneticPr fontId="4" type="noConversion"/>
  </si>
  <si>
    <t>112年01月份月結</t>
    <phoneticPr fontId="4" type="noConversion"/>
  </si>
  <si>
    <t>新店機廠站
(捷17、18、19)</t>
  </si>
  <si>
    <t>新北市新店區中央路153號15樓之23</t>
  </si>
  <si>
    <t>收到承租戶電話報修，陽台水管有漏水情形，請我方派員查修。經廠商檢查，發現陽台熱水彎管有持續漏水情形，建議更換L型彎管。</t>
  </si>
  <si>
    <t>新北市新店區中央路153號13樓之6</t>
  </si>
  <si>
    <t>新北市新店區中央路153號20樓之2</t>
  </si>
  <si>
    <t>承租人來電反應，表示浴廁水龍頭有漏水現象，請我方派員勘查。經現場勘查，發現水龍頭由於生鏽老化導致漏水，下方軟管亦有漏水現象，導致滴水至下方浴櫃，建議更換面盆水龍頭。</t>
  </si>
  <si>
    <t>新北市新店區中央路153號22樓之13</t>
  </si>
  <si>
    <t>承租戶來電反應室內有漏水現象，請我方派員查看。經現場勘查，住戶室內靠近窗戶區域之天花板有兩處皆有漏水現象，需設置檢修孔進一步勘查判斷。</t>
  </si>
  <si>
    <t>新北市新店區中央路153號21樓之13</t>
    <phoneticPr fontId="4" type="noConversion"/>
  </si>
  <si>
    <t>承租人來電反應，表示大門電子鎖功能故障，請我方派員查看。經現場勘查，發現由於電子門鎖鎖舌有歪斜現象，無法上鎖導致故障。建議更新電子鎖。</t>
    <phoneticPr fontId="4" type="noConversion"/>
  </si>
  <si>
    <t>新北市新店區中央路153號21樓之15</t>
  </si>
  <si>
    <t>承租人來電反應，表示大門電子鎖故障無法上鎖，請我方派員查看。經現場勘查，發現由於電子鎖機板故障，導致無法啟動鎖舌，同時鎖舌亦有歪斜現象。建議更新電子鎖。</t>
  </si>
  <si>
    <t>新北市新店區中央路153號13樓之8</t>
  </si>
  <si>
    <t>承租人來電反應，表示大門電子鎖功能異常，請我方派員查看。經廠商現場勘察，發現電子門鎖鎖舌由於老化產生間隙歪斜現象，導致無法上鎖。為避免卡死無法開門，建議更新電子鎖。</t>
  </si>
  <si>
    <t xml:space="preserve"> </t>
    <phoneticPr fontId="4" type="noConversion"/>
  </si>
  <si>
    <t>新北市新店區中央路153號13樓之22</t>
  </si>
  <si>
    <t>承租人來電反應，表示大門電子鎖功能異常，請我方派員查看。經現場勘察，發現電子鎖鎖舌由於老化產生歪斜現象，導致無法上鎖。建議更新電子鎖。</t>
  </si>
  <si>
    <t>新北市新店區中央路153號15樓之12</t>
  </si>
  <si>
    <t>承租人來電反應，表示大門電子鎖無法上鎖，請我方派員查看。經現場勘查，發現大門電子鎖之電池座由於潮濕導致故障，無法供電上鎖。建議更新電子鎖。</t>
  </si>
  <si>
    <t>新北市新店區中央路153號15樓之16</t>
  </si>
  <si>
    <t>新北市新店區中央路153號16樓之13</t>
  </si>
  <si>
    <t>承租人來電反應，表示大門電子鎖無法上鎖，請我方派員查看。經現場勘查，發現由於電子門鎖鎖舌偏離軌道，導致無法上鎖故障，驅動馬達無法推動上鎖。建議更新電子鎖。</t>
  </si>
  <si>
    <t>承租人來電反應，表示大門電子鎖功能異常無法開關，請我方派員查看。經現場勘查，發現由於電子鎖機板故障，導致無法上鎖。建議更新電子鎖。</t>
    <phoneticPr fontId="4" type="noConversion"/>
  </si>
  <si>
    <t>承租人來電反應，表示浴室淋浴間乾濕分離玻璃門無法關閉，請我方派員勘查。經現場勘查，發現浴室玻璃門防水膠條由於老化失去彈性，已無法有效接合，導致玻璃門無法關閉。廠商建議更新防水膠條。防水膠條一共兩條，一條200cm。</t>
    <phoneticPr fontId="4" type="noConversion"/>
  </si>
  <si>
    <t>04-08-03*1組</t>
    <phoneticPr fontId="4" type="noConversion"/>
  </si>
  <si>
    <t>06-09-01*2式</t>
    <phoneticPr fontId="4" type="noConversion"/>
  </si>
  <si>
    <t>04-10-01*1只</t>
    <phoneticPr fontId="4" type="noConversion"/>
  </si>
  <si>
    <t>04-05-04*4m</t>
    <phoneticPr fontId="4" type="noConversion"/>
  </si>
  <si>
    <t>112年02月份月結</t>
    <phoneticPr fontId="4" type="noConversion"/>
  </si>
  <si>
    <t>新北市新店區中央路153號14樓之21</t>
    <phoneticPr fontId="4" type="noConversion"/>
  </si>
  <si>
    <t>現場主任巡視空屋時，發現電子鎖感應不良，無法正常開關門。經廠商檢查，確認是鎖芯老化故障，無法順利推動馬達解鎖，建議更新。</t>
  </si>
  <si>
    <t>新北市新店區中央路153號22樓之18</t>
    <phoneticPr fontId="4" type="noConversion"/>
  </si>
  <si>
    <t>收到住戶反應，電子鎖功能異常，無法使用磁卡開門。經廠商檢查，確認是電子鎖機板故障，無法感應磁卡開門，建議更新。</t>
    <phoneticPr fontId="4" type="noConversion"/>
  </si>
  <si>
    <t>新北市新店區中央路153號23樓之13</t>
    <phoneticPr fontId="4" type="noConversion"/>
  </si>
  <si>
    <t>承租戶來電，表示大門電子鎖故障，請我方派員查看。經廠商現場勘察，發現由於電子門鎖機匣短路無法上鎖，導致驅動馬達無法推動，建議更換電子鎖。</t>
    <phoneticPr fontId="4" type="noConversion"/>
  </si>
  <si>
    <t>新北市新店區中央路153號16樓之12</t>
    <phoneticPr fontId="4" type="noConversion"/>
  </si>
  <si>
    <t>承租戶來電，表示大門電子鎖無法開啟，請我方派員查看。經廠商現場勘查，發現電子鎖鎖匣卡死導致無法上鎖故障，驅動馬達無法推動上鎖，建議更換電子鎖。</t>
    <phoneticPr fontId="4" type="noConversion"/>
  </si>
  <si>
    <t>新北市新店區中央路153號9樓之6</t>
    <phoneticPr fontId="4" type="noConversion"/>
  </si>
  <si>
    <t>承租戶來電，表示大門電子鎖故障，請我方派員查看。經現場人員勘查，發現鎖舌偏離軌道導致無法啟動，建議更換電子鎖。</t>
    <phoneticPr fontId="4" type="noConversion"/>
  </si>
  <si>
    <t>新北市新店區中央路153號8樓之6</t>
    <phoneticPr fontId="4" type="noConversion"/>
  </si>
  <si>
    <t>承租戶來電，表示大門電子鎖有故障狀況，請我方派員查看。經現場勘查，發現電子門鎖鎖舌偏離軌道，導致驅動馬達無法推動上鎖，建議更換電子鎖。</t>
    <phoneticPr fontId="4" type="noConversion"/>
  </si>
  <si>
    <t>新北市新店區中央路153號10樓之13</t>
    <phoneticPr fontId="4" type="noConversion"/>
  </si>
  <si>
    <t>收到承租人反應，室內牆面出現裂痕，請我派員查看。經現場勘查，住戶室內牆面因地震及潮溼產生裂痕，建議補土油漆並塗刷防水漆。</t>
    <phoneticPr fontId="4" type="noConversion"/>
  </si>
  <si>
    <t>新北市新店區中央路161號6樓</t>
    <phoneticPr fontId="4" type="noConversion"/>
  </si>
  <si>
    <t>新北市新店區中央路161號20樓</t>
    <phoneticPr fontId="4" type="noConversion"/>
  </si>
  <si>
    <t>承租戶來電，表示大門電子鎖有故障現象，請我方派員查看。經現場勘查，發現電子門鎖鎖匣嚴重鏽蝕，導致無法啟動。為避免卡死無法開門，建議更新。</t>
    <phoneticPr fontId="4" type="noConversion"/>
  </si>
  <si>
    <t>收到承租戶來電反應，表示大門電子鎖有故障現象無法啟動，請我方派員查看。經現場勘查，發現由於電子門鎖鎖匣卡死，導致驅動馬達無法推動上鎖，建議更換電子鎖。</t>
    <phoneticPr fontId="4" type="noConversion"/>
  </si>
  <si>
    <t>新北市新店區中央路153號18樓</t>
    <phoneticPr fontId="4" type="noConversion"/>
  </si>
  <si>
    <t>新北市新店區中央路153號16樓</t>
    <phoneticPr fontId="4" type="noConversion"/>
  </si>
  <si>
    <t>新北市新店區中央路153號19樓之3</t>
    <phoneticPr fontId="4" type="noConversion"/>
  </si>
  <si>
    <t>新北市新店區中央路153號12樓</t>
    <phoneticPr fontId="4" type="noConversion"/>
  </si>
  <si>
    <t>新北市新店區中央路153號14樓之6</t>
    <phoneticPr fontId="4" type="noConversion"/>
  </si>
  <si>
    <t>與先前承租戶進行退租點交手續時，承租人表示電子鎖有故障現象，聯絡廠商排定現場勘查。經廠商現場勘查，發現電子鎖機板老化故障，導致驅動馬達無法上鎖，建議更換電子鎖。</t>
  </si>
  <si>
    <t>與先前承租戶進行退租點交時，發現電子鎖有故障現象，聯絡廠商現場勘查。經廠商現場勘查，發現電子鎖鎖匣由於老化卡死導致無法上鎖故障，建議更換電子鎖。</t>
  </si>
  <si>
    <t>與先前承租人進行退租點交時，承租人反應大門電子鎖有故障現象，與廠商排定時間現場勘查。經現場勘查，發現電子門鎖鎖舌偏離軌道，導致驅動馬達無法推動上鎖，同時鎖匣亦因老化嚴重生鏽，建議更換電子鎖。</t>
  </si>
  <si>
    <t>與先前承租人進行退租點交手續時，發現大門電子鎖有故障現象。經現場檢查，發現電子鎖主機板由於老化無法啟動，需更換電子鎖。</t>
  </si>
  <si>
    <t>收到承租戶來電，表示大門電子鎖有故障狀況，請我方派員查看。經現場勘查，發現由於電子門鎖鎖舌偏離軌道，導致驅動馬達無法推動上鎖，建議更換電子鎖。</t>
  </si>
  <si>
    <t>新北市新店區中央路153號24樓之3</t>
  </si>
  <si>
    <t>收到承租人來電反應，表示室內天花板表面有發霉現象，請我方派員查看，經現場勘查，發現室內由於潮濕積累濕氣，導致天花板有發霉現象，建議重新塗刷防水漆及水泥漆。</t>
  </si>
  <si>
    <t>新北市新店區中央路153號28樓之25</t>
  </si>
  <si>
    <t>承租人來電反應，表示浴室有漏水現象、同時室內電燈開關有故障現象，請我方派員查看。經現場勘查，發現室內電燈單切開關有故障現象導致電燈無法開啟，另外浴室馬桶之三角凡而由於生鏽老化而有漏水現象，需更換電燈開關及三角凡而。</t>
  </si>
  <si>
    <r>
      <t>01-01-03*5m</t>
    </r>
    <r>
      <rPr>
        <vertAlign val="superscript"/>
        <sz val="16"/>
        <color rgb="FF000000"/>
        <rFont val="微軟正黑體"/>
        <family val="2"/>
        <charset val="136"/>
      </rPr>
      <t>2</t>
    </r>
    <phoneticPr fontId="4" type="noConversion"/>
  </si>
  <si>
    <r>
      <t>01-01-01*10m</t>
    </r>
    <r>
      <rPr>
        <vertAlign val="superscript"/>
        <sz val="16"/>
        <color rgb="FF000000"/>
        <rFont val="微軟正黑體"/>
        <family val="2"/>
        <charset val="136"/>
      </rPr>
      <t>2</t>
    </r>
    <phoneticPr fontId="4" type="noConversion"/>
  </si>
  <si>
    <r>
      <t>01-01-02*5m</t>
    </r>
    <r>
      <rPr>
        <vertAlign val="superscript"/>
        <sz val="16"/>
        <color rgb="FF000000"/>
        <rFont val="微軟正黑體"/>
        <family val="2"/>
        <charset val="136"/>
      </rPr>
      <t>2</t>
    </r>
    <phoneticPr fontId="4" type="noConversion"/>
  </si>
  <si>
    <r>
      <t>01-01-01*40m</t>
    </r>
    <r>
      <rPr>
        <vertAlign val="superscript"/>
        <sz val="16"/>
        <color rgb="FF000000"/>
        <rFont val="微軟正黑體"/>
        <family val="2"/>
        <charset val="136"/>
      </rPr>
      <t>2</t>
    </r>
    <phoneticPr fontId="4" type="noConversion"/>
  </si>
  <si>
    <r>
      <t>01-01-03*4m</t>
    </r>
    <r>
      <rPr>
        <vertAlign val="superscript"/>
        <sz val="16"/>
        <color rgb="FF000000"/>
        <rFont val="微軟正黑體"/>
        <family val="2"/>
        <charset val="136"/>
      </rPr>
      <t>2</t>
    </r>
    <phoneticPr fontId="4" type="noConversion"/>
  </si>
  <si>
    <t>04-08-11*1只</t>
    <phoneticPr fontId="4" type="noConversion"/>
  </si>
  <si>
    <t>05-01-01*1組</t>
    <phoneticPr fontId="4" type="noConversion"/>
  </si>
  <si>
    <t>112年03月份月結</t>
    <phoneticPr fontId="4" type="noConversion"/>
  </si>
  <si>
    <t>七張站
(捷10、11)</t>
  </si>
  <si>
    <t>新店市北新路2段128號2樓</t>
  </si>
  <si>
    <t>馬林商場許經理來電表示，七張站一樓至二樓手扶梯扶手帶有破損狀況，立即通知廠商現場勘查。經廠商現場勘察，發現手扶梯扶手帶已嚴重破損，影響乘客使用，廠商建議更換新品。本次需更換之扶手帶為上樓之電扶梯之左側扶手帶，請參見現場照片。</t>
  </si>
  <si>
    <t>新北市新店區中央路153號22樓之13</t>
    <phoneticPr fontId="4" type="noConversion"/>
  </si>
  <si>
    <t>收到承租人反應，大門電子鎖功能異常，無法順利開鎖與解鎖，請我方派員查看。經廠商檢測，確認是電子鎖鎖匣老化故障，無法正常運作，建議更新，配合承租人時間進行修繕。</t>
    <phoneticPr fontId="4" type="noConversion"/>
  </si>
  <si>
    <t>新北市新店區中央路153號12樓之13</t>
    <phoneticPr fontId="4" type="noConversion"/>
  </si>
  <si>
    <t>房屋租約續租前，收到承租人反應，電子鎖無法正常上鎖/解鎖，請我方派員查看，續租點交時，經廠商檢測，確認是電子鎖鎖匣老化故障，無法正常運作，建議更新，配合承租人時間進行修繕。</t>
    <phoneticPr fontId="4" type="noConversion"/>
  </si>
  <si>
    <t>新北市新店區中央路153號16樓之1</t>
    <phoneticPr fontId="4" type="noConversion"/>
  </si>
  <si>
    <t>新北市新店區中央路153號16樓之7</t>
    <phoneticPr fontId="4" type="noConversion"/>
  </si>
  <si>
    <t>新北市新店區中央路153號19樓之7</t>
    <phoneticPr fontId="4" type="noConversion"/>
  </si>
  <si>
    <t>新北市新店區中央路153號20樓之1</t>
    <phoneticPr fontId="4" type="noConversion"/>
  </si>
  <si>
    <t>新北市新店區中央路153號20樓之12</t>
    <phoneticPr fontId="4" type="noConversion"/>
  </si>
  <si>
    <t>新北市新店區中央路153號20樓之15</t>
    <phoneticPr fontId="4" type="noConversion"/>
  </si>
  <si>
    <t>新北市新店區中央路153號20樓之25</t>
    <phoneticPr fontId="4" type="noConversion"/>
  </si>
  <si>
    <t>新北市新店區中央路153號22樓之23</t>
    <phoneticPr fontId="4" type="noConversion"/>
  </si>
  <si>
    <t>新店機廠站
(捷17、18、19)</t>
    <phoneticPr fontId="4" type="noConversion"/>
  </si>
  <si>
    <t>新北市新店區中央路153號26樓之25</t>
    <phoneticPr fontId="4" type="noConversion"/>
  </si>
  <si>
    <t>承租戶來電，表示大門電子鎖有故障狀況，請我方派員查看。經現場勘查，發現電子門鎖鎖舌偏離軌道，導致驅動馬達無法推動上鎖，建議更換電子鎖。</t>
    <phoneticPr fontId="4" type="noConversion"/>
  </si>
  <si>
    <t>新北市新店區中央路161號5樓</t>
    <phoneticPr fontId="4" type="noConversion"/>
  </si>
  <si>
    <t>新北市新店區中央路161號8樓</t>
    <phoneticPr fontId="4" type="noConversion"/>
  </si>
  <si>
    <t>新北市新店區中央路161號19樓之2</t>
    <phoneticPr fontId="4" type="noConversion"/>
  </si>
  <si>
    <t>收到承租人反應，大門電子鎖功能異常，無法順利開鎖與解鎖，請我方派員查看。經廠商現場檢測，確認是電子門鎖鎖夾後機板感應故障，無法上鎖設定，由於後機板與電池盒須搭配使用，建議更新後機板、電池盒。</t>
    <phoneticPr fontId="4" type="noConversion"/>
  </si>
  <si>
    <t>新北市新店區中央路161號8樓之2</t>
    <phoneticPr fontId="4" type="noConversion"/>
  </si>
  <si>
    <t>收到承租人來訊，表示陽台水龍頭會漏水，請我方派員查看。經廠商檢測，確認陽台水龍頭因老化而漏水，建議更新。</t>
    <phoneticPr fontId="4" type="noConversion"/>
  </si>
  <si>
    <t>新北市新店區中央路153號12樓之3</t>
  </si>
  <si>
    <t>收到承租人來電，浴室洗手台水龍頭會漏水，請我方派員查看。經廠商勘查，確認是水龍頭高壓軟管因老舊產生裂痕導致漏水，建議更新。</t>
  </si>
  <si>
    <t>新北市新店區中央路153號13樓之19</t>
  </si>
  <si>
    <t>收到承租人來電，浴室洗手台水龍頭會漏水，請我方派員查看。經廠商檢測，確認水龍頭底部熱水軟管老化導致漏水，建議更新。</t>
  </si>
  <si>
    <t>新北市新店區中央路161號18樓之3</t>
  </si>
  <si>
    <t>收到承租人來訊，表示臥室角落上方漏水，請我方派員查看。經廠商查看，由於是夾板上方有漏水狀況，需要設置檢修孔到上方查看漏水原因。</t>
  </si>
  <si>
    <t>新店區公所站
(捷22)</t>
    <phoneticPr fontId="4" type="noConversion"/>
  </si>
  <si>
    <t>新北市新店區北新路1段293號5樓</t>
    <phoneticPr fontId="4" type="noConversion"/>
  </si>
  <si>
    <t>收到承租戶來電反應，表示室內通往陽台之兩扇紗門皆有破損現象，且難以推動，導致常有蚊蟲飛入，請我方派員查看。經現場勘查，確認兩扇紗門皆有破損，且由於長期使用導致門框部分些微變形難以推動，需進行門框調整檢修並更換紗網。</t>
    <phoneticPr fontId="4" type="noConversion"/>
  </si>
  <si>
    <t>新北市新店區北新路1段293號3樓之5</t>
    <phoneticPr fontId="4" type="noConversion"/>
  </si>
  <si>
    <t>收到承租戶來電反應，表示室內通往陽台之兩扇紗門皆有破損現象，且門框有歪斜狀況，請我方派員查看。經現場勘查，確認兩扇紗門皆有破損，且門框部分有變形現象難以推動，需進行門框調整檢修並更換紗網。</t>
    <phoneticPr fontId="4" type="noConversion"/>
  </si>
  <si>
    <t>新北市新店區北新路1段293號7樓</t>
    <phoneticPr fontId="4" type="noConversion"/>
  </si>
  <si>
    <t>區公所七樓本號承租戶懷斯公司來電反應，室內天花板燈忽然燒焦，請我方派員查看。經人員現場勘查，發現日光燈管確有燒焦現象，為求安全起見已先將該組燈座拆卸，建議進行室內配電管路檢修，以防燈管再次燒毀，另三組層板燈亦有故障現象，建議更換層板燈。</t>
    <phoneticPr fontId="4" type="noConversion"/>
  </si>
  <si>
    <t>新北市新店區中央路153號21樓之23</t>
    <phoneticPr fontId="4" type="noConversion"/>
  </si>
  <si>
    <t>收到承租人來電反應，表示大門電子鎖有故障狀況，請我方派員查看。經人員現場勘查，發現電子鎖機板由於老化而故障失效，無法推動鎖舌上鎖，建議更換電子鎖。</t>
    <phoneticPr fontId="4" type="noConversion"/>
  </si>
  <si>
    <t>新北市新店區中央路153號22樓之3</t>
    <phoneticPr fontId="4" type="noConversion"/>
  </si>
  <si>
    <t>收到承租人反應，大門電子鎖有故障現象，無法正常上鎖/解鎖，請我方派員查看。經廠商現場勘查，發現電子鎖鎖匣由於老化故障，無法推動鎖舌運作，建議更換電子鎖。</t>
    <phoneticPr fontId="4" type="noConversion"/>
  </si>
  <si>
    <t>新北市新店區中央路153號10樓之5</t>
    <phoneticPr fontId="4" type="noConversion"/>
  </si>
  <si>
    <t>承租戶來電，表示大門電子鎖有故障狀況，請我方派員查看。經現場勘查，發現電子門機板故障，導致驅動馬達無法推動上鎖，建議更換電子鎖。</t>
    <phoneticPr fontId="4" type="noConversion"/>
  </si>
  <si>
    <t>新北市新店區中央路153號11樓之22</t>
    <phoneticPr fontId="4" type="noConversion"/>
  </si>
  <si>
    <t>該房屋租約續約前，收到承租人反應，電子鎖無法正常上鎖/解鎖，請我方派員查看。續租點交時，經廠商檢測，確認電子鎖鎖舌由於老化鏽蝕卡死，無法正常運作上鎖，建議更新，配合承租人時間進行修繕。</t>
    <phoneticPr fontId="4" type="noConversion"/>
  </si>
  <si>
    <t>新北市新店區中央路153號24樓之13</t>
    <phoneticPr fontId="4" type="noConversion"/>
  </si>
  <si>
    <t>房屋租約續租前，收到承租人反應，電子鎖無法正常上鎖/解鎖，請我方派員查看。續租點交時，經廠商檢測，確認是電子鎖鎖匣老化故障，無法正常運作，建議更新，配合承租人時間進行修繕。</t>
    <phoneticPr fontId="4" type="noConversion"/>
  </si>
  <si>
    <t>新北市新店區中央路153號25樓之12</t>
    <phoneticPr fontId="4" type="noConversion"/>
  </si>
  <si>
    <t>現場主任巡視空屋時，確認有需修繕狀況：牆面髒汙有裂隙、馬桶蓋老化受損，建議將牆面裂隙以補土修復，髒污處以油漆復原，因髒汙嚴重需要2-3次重複粉刷方能完整復原，將受損馬桶蓋更新。</t>
    <phoneticPr fontId="4" type="noConversion"/>
  </si>
  <si>
    <t>新北市新店區中央路153號26樓之26</t>
    <phoneticPr fontId="4" type="noConversion"/>
  </si>
  <si>
    <t>現場主任巡視空屋時，確認有需修繕狀況：牆面髒汙有裂隙，建議將牆面裂隙以補土修復，髒污處以油漆復原，因髒汙嚴重需要2-3次重複粉刷方能完整復原。</t>
    <phoneticPr fontId="4" type="noConversion"/>
  </si>
  <si>
    <t>現場主任巡視空屋時，確認有需修繕狀況：電子鎖機板故障，無法正常開關門，由於機板老化損壞，建議更新。</t>
    <phoneticPr fontId="4" type="noConversion"/>
  </si>
  <si>
    <t>新北市新店區中央路153號27樓之15</t>
    <phoneticPr fontId="4" type="noConversion"/>
  </si>
  <si>
    <t>新北市新店區中央路153號27樓之18</t>
    <phoneticPr fontId="4" type="noConversion"/>
  </si>
  <si>
    <t>現場主任巡視空屋時，發現電子鎖有故障現象，無法正常開關，連絡廠商現場勘查。經廠商現場勘查，發現由於電子鎖機板故障，使電子鎖無法啟動，需更換電子鎖。</t>
    <phoneticPr fontId="4" type="noConversion"/>
  </si>
  <si>
    <t>新北市新店區中央路153號28樓之18</t>
    <phoneticPr fontId="4" type="noConversion"/>
  </si>
  <si>
    <t>新北市新店區中央路161號5樓之6</t>
    <phoneticPr fontId="4" type="noConversion"/>
  </si>
  <si>
    <t>現場主任巡視空屋時，確認有需修繕狀況：牆面髒汙有裂，建議將牆面裂隙以補土修復，髒污處以油漆復原，因髒汙嚴重需要2-3次重複粉刷方能完整復原。</t>
    <phoneticPr fontId="4" type="noConversion"/>
  </si>
  <si>
    <t>現場主任巡視空屋時，發現廚房門把手有故障狀況，無法開關，連絡廠商現場勘查。經現場勘查，發現把手鎖芯橫軸有脫離狀況，導致把手空轉無法使用把手開門，需更換廚房門把手。</t>
    <phoneticPr fontId="4" type="noConversion"/>
  </si>
  <si>
    <t>新北市新店區中央路161號7樓之6</t>
    <phoneticPr fontId="4" type="noConversion"/>
  </si>
  <si>
    <t>現場主任巡視空屋時，確認有需修繕狀況：牆面髒汙有裂隙、熱水器凡而漏水，建議將牆面裂隙以補土修復，髒污處以油漆復原，因髒汙嚴重需要2-3次重複粉刷方能完整復原，將熱水器凡而更新</t>
    <phoneticPr fontId="4" type="noConversion"/>
  </si>
  <si>
    <t>現場主任巡視空屋時，確認電子鎖難以使用，無法順利開關門，由於機板老化損壞，建議更新。</t>
    <phoneticPr fontId="4" type="noConversion"/>
  </si>
  <si>
    <t>新北市新店區中央路161號9樓之6</t>
    <phoneticPr fontId="4" type="noConversion"/>
  </si>
  <si>
    <t>現場主任巡視空屋時，確認有需修繕狀況：牆面髒汙有裂隙，建議將牆面裂隙以補土修復，髒污處以油漆復原，因髒汙嚴重需要2-3次重複粉刷方能完整復原</t>
    <phoneticPr fontId="4" type="noConversion"/>
  </si>
  <si>
    <t>現場主任巡視空屋時，確認電子鎖難以使用，無法順利開關門，經廠商確認，由於機板老化損壞，建議更新。</t>
    <phoneticPr fontId="4" type="noConversion"/>
  </si>
  <si>
    <t>公館站
(交11)</t>
    <phoneticPr fontId="4" type="noConversion"/>
  </si>
  <si>
    <t>臺北市羅斯福路4段68號9樓之6</t>
    <phoneticPr fontId="4" type="noConversion"/>
  </si>
  <si>
    <t>收到承租人反應以下修繕狀況，請我方派員查看。浴室洗手台會漏水、浴室蓮蓬頭損壞、室內牆面有髒汙、孔洞、裂痕、漏水狀況、馬桶有漏水狀況、陽台一盞燈不會亮。經廠商現場檢測，確認淋浴龍頭、洗手台排水管、洗手台與馬桶三角凡而因零件老化而產生漏水狀況，建議更新。室內牆面建議以補土、防水漆、油漆復原。陽台燈座之線路有異常狀況，需要安排查修。</t>
    <phoneticPr fontId="4" type="noConversion"/>
  </si>
  <si>
    <t>數量</t>
    <phoneticPr fontId="4" type="noConversion"/>
  </si>
  <si>
    <t>單位</t>
    <phoneticPr fontId="4" type="noConversion"/>
  </si>
  <si>
    <t>條</t>
    <phoneticPr fontId="4" type="noConversion"/>
  </si>
  <si>
    <t>06-05-01</t>
    <phoneticPr fontId="4" type="noConversion"/>
  </si>
  <si>
    <t>個</t>
    <phoneticPr fontId="4" type="noConversion"/>
  </si>
  <si>
    <t>1</t>
    <phoneticPr fontId="4" type="noConversion"/>
  </si>
  <si>
    <t>式</t>
    <phoneticPr fontId="4" type="noConversion"/>
  </si>
  <si>
    <t>03-04-02</t>
    <phoneticPr fontId="4" type="noConversion"/>
  </si>
  <si>
    <t>03-04-04</t>
    <phoneticPr fontId="4" type="noConversion"/>
  </si>
  <si>
    <t>組</t>
    <phoneticPr fontId="4" type="noConversion"/>
  </si>
  <si>
    <t>03-04-09</t>
    <phoneticPr fontId="4" type="noConversion"/>
  </si>
  <si>
    <t>03-04-06</t>
    <phoneticPr fontId="4" type="noConversion"/>
  </si>
  <si>
    <t>04-08-09</t>
    <phoneticPr fontId="4" type="noConversion"/>
  </si>
  <si>
    <t>支</t>
    <phoneticPr fontId="4" type="noConversion"/>
  </si>
  <si>
    <t>04-08-04</t>
    <phoneticPr fontId="4" type="noConversion"/>
  </si>
  <si>
    <t>06-09-01</t>
    <phoneticPr fontId="4" type="noConversion"/>
  </si>
  <si>
    <t>扇</t>
    <phoneticPr fontId="4" type="noConversion"/>
  </si>
  <si>
    <t>03-01-06</t>
    <phoneticPr fontId="4" type="noConversion"/>
  </si>
  <si>
    <t>才</t>
    <phoneticPr fontId="4" type="noConversion"/>
  </si>
  <si>
    <t>52</t>
    <phoneticPr fontId="4" type="noConversion"/>
  </si>
  <si>
    <t>03-02-03</t>
    <phoneticPr fontId="4" type="noConversion"/>
  </si>
  <si>
    <t>04-11-09</t>
    <phoneticPr fontId="4" type="noConversion"/>
  </si>
  <si>
    <t>4</t>
    <phoneticPr fontId="4" type="noConversion"/>
  </si>
  <si>
    <t>m</t>
    <phoneticPr fontId="4" type="noConversion"/>
  </si>
  <si>
    <t>6</t>
    <phoneticPr fontId="4" type="noConversion"/>
  </si>
  <si>
    <t>05-03-01</t>
    <phoneticPr fontId="4" type="noConversion"/>
  </si>
  <si>
    <t>01-01-01</t>
    <phoneticPr fontId="4" type="noConversion"/>
  </si>
  <si>
    <r>
      <t>m</t>
    </r>
    <r>
      <rPr>
        <vertAlign val="superscript"/>
        <sz val="16"/>
        <color rgb="FF000000"/>
        <rFont val="微軟正黑體"/>
        <family val="2"/>
        <charset val="136"/>
      </rPr>
      <t>2</t>
    </r>
    <phoneticPr fontId="4" type="noConversion"/>
  </si>
  <si>
    <t>01-01-02</t>
    <phoneticPr fontId="4" type="noConversion"/>
  </si>
  <si>
    <t>04-07-03</t>
    <phoneticPr fontId="4" type="noConversion"/>
  </si>
  <si>
    <t>只</t>
    <phoneticPr fontId="4" type="noConversion"/>
  </si>
  <si>
    <t>15</t>
    <phoneticPr fontId="4" type="noConversion"/>
  </si>
  <si>
    <t>01-01-03</t>
    <phoneticPr fontId="4" type="noConversion"/>
  </si>
  <si>
    <t>04-06-01</t>
    <phoneticPr fontId="4" type="noConversion"/>
  </si>
  <si>
    <t>組</t>
    <phoneticPr fontId="4" type="noConversion"/>
  </si>
  <si>
    <t>1</t>
    <phoneticPr fontId="4" type="noConversion"/>
  </si>
  <si>
    <t>m</t>
    <phoneticPr fontId="4" type="noConversion"/>
  </si>
  <si>
    <t>04-08-02</t>
    <phoneticPr fontId="4" type="noConversion"/>
  </si>
  <si>
    <t>04-08-11</t>
    <phoneticPr fontId="4" type="noConversion"/>
  </si>
  <si>
    <t>05-03-02</t>
    <phoneticPr fontId="4" type="noConversion"/>
  </si>
  <si>
    <t>案號2施作項目數量總計</t>
    <phoneticPr fontId="4" type="noConversion"/>
  </si>
  <si>
    <t>03-01-06</t>
    <phoneticPr fontId="4" type="noConversion"/>
  </si>
  <si>
    <t>03-03-03</t>
    <phoneticPr fontId="4" type="noConversion"/>
  </si>
  <si>
    <t>只</t>
    <phoneticPr fontId="4" type="noConversion"/>
  </si>
  <si>
    <t>04-08-11</t>
    <phoneticPr fontId="4" type="noConversion"/>
  </si>
  <si>
    <t>03-04-09</t>
  </si>
  <si>
    <t>組</t>
  </si>
  <si>
    <t>04-08-09</t>
  </si>
  <si>
    <t>支</t>
  </si>
  <si>
    <t>案號3施作項目數量總計</t>
    <phoneticPr fontId="4" type="noConversion"/>
  </si>
  <si>
    <t>案號4施作項目數量總計</t>
    <phoneticPr fontId="4" type="noConversion"/>
  </si>
  <si>
    <t>01-01-01</t>
    <phoneticPr fontId="4" type="noConversion"/>
  </si>
  <si>
    <r>
      <t>m</t>
    </r>
    <r>
      <rPr>
        <vertAlign val="superscript"/>
        <sz val="16"/>
        <color rgb="FF000000"/>
        <rFont val="微軟正黑體"/>
        <family val="2"/>
        <charset val="136"/>
      </rPr>
      <t>2</t>
    </r>
    <phoneticPr fontId="4" type="noConversion"/>
  </si>
  <si>
    <t>01-01-02</t>
    <phoneticPr fontId="4" type="noConversion"/>
  </si>
  <si>
    <t>只</t>
    <phoneticPr fontId="4" type="noConversion"/>
  </si>
  <si>
    <t>03-04-02</t>
    <phoneticPr fontId="4" type="noConversion"/>
  </si>
  <si>
    <t>個</t>
    <phoneticPr fontId="4" type="noConversion"/>
  </si>
  <si>
    <t>03-04-04</t>
    <phoneticPr fontId="4" type="noConversion"/>
  </si>
  <si>
    <t>式</t>
    <phoneticPr fontId="4" type="noConversion"/>
  </si>
  <si>
    <t>04-07-03</t>
    <phoneticPr fontId="4" type="noConversion"/>
  </si>
  <si>
    <t>案號9施作項目數量總計</t>
    <phoneticPr fontId="4" type="noConversion"/>
  </si>
  <si>
    <t>案號10施作項目數量總計</t>
    <phoneticPr fontId="4" type="noConversion"/>
  </si>
  <si>
    <t>編號</t>
    <phoneticPr fontId="4" type="noConversion"/>
  </si>
  <si>
    <t>112年04月份月結</t>
    <phoneticPr fontId="4" type="noConversion"/>
  </si>
  <si>
    <t>公館站
(交11)</t>
    <phoneticPr fontId="4" type="noConversion"/>
  </si>
  <si>
    <t>臺北市羅斯福路4段68號9樓之12</t>
    <phoneticPr fontId="4" type="noConversion"/>
  </si>
  <si>
    <t>收到承租人來電反應，表示浴室洗手台管線有漏水且出水量很小，此外馬桶無法止水，請我方派員查看。經人員現場勘查，發現洗手台排水管接口由於橡膠老化導致有滲漏狀況，同時洗手台及馬桶進水管之三角凡而由於老化導致無法調節水量，另外馬桶水箱零件有故障狀況，導致馬桶無法止水。建議更換面盆排水管、三角凡而及馬桶水箱零件。</t>
    <phoneticPr fontId="4" type="noConversion"/>
  </si>
  <si>
    <t>新北市新店區中央路153號9樓之8</t>
  </si>
  <si>
    <t>現場主任巡視空屋時，確認有以下項目需要修復：牆壁髒汙裂縫、馬桶蓋氧化變色，廠商建議：將牆壁重新油漆、裂隙處以補土修復，馬桶蓋因為長期日曬產生變色及龜裂，建議更新以維護使用安全。</t>
    <phoneticPr fontId="4" type="noConversion"/>
  </si>
  <si>
    <t>新北市新店區中央路153號9樓之10</t>
  </si>
  <si>
    <t>現場主任巡視空屋時，確認有以下項目需要修復：牆壁髒汙裂縫，廠商建議：將牆壁重新油漆、裂隙處以補土修復。</t>
    <phoneticPr fontId="4" type="noConversion"/>
  </si>
  <si>
    <t>新北市新店區中央路153號12樓之21</t>
  </si>
  <si>
    <t>現場主任巡視空屋時，確認有以下項目需要修復：牆壁髒汙裂縫。廠商建議：將牆壁重新油漆、裂隙處以補土修復，另因為靠近浴室角落比較潮濕，須以防水漆加強修補。</t>
    <phoneticPr fontId="4" type="noConversion"/>
  </si>
  <si>
    <t>新北市新店區中央路153號14樓之13</t>
  </si>
  <si>
    <t>現場主任巡視空屋時，確認有以下項目需要修復：牆壁髒汙裂縫、馬桶蓋氧化變色、陽台水龍頭使用中會漏水。廠商建議：將牆壁重新油漆、裂隙處以補土修復，更換漏水之龍頭，馬桶蓋因為長期日曬產生變色及龜裂，建議更新以維護使用安全。</t>
    <phoneticPr fontId="4" type="noConversion"/>
  </si>
  <si>
    <t>新北市新店區中央路153號21樓之1</t>
  </si>
  <si>
    <t>現場主任巡視空屋時，確認有以下項目需要修復：牆壁髒汙裂縫、馬桶蓋氧化變色。廠商建議：將牆壁重新油漆、裂隙處以補土修復，馬桶蓋因為長期日曬產生變色及龜裂，建議更新以維護使用安全。</t>
    <phoneticPr fontId="4" type="noConversion"/>
  </si>
  <si>
    <t>新北市新店區中央路153號23樓之18</t>
  </si>
  <si>
    <t>現場主任巡視空屋時，確認有以下項目需要修復：牆壁髒汙裂縫、陽台水龍頭使用中會漏水。廠商建議：將牆壁重新油漆、裂隙處以補土修復，更新漏水之龍頭。</t>
    <phoneticPr fontId="4" type="noConversion"/>
  </si>
  <si>
    <t>新北市新店區中央路153號24樓之5</t>
  </si>
  <si>
    <t>現場主任巡視空屋時，確認有以下項目需要修復：牆壁髒汙裂縫、馬桶蓋氧化變色、陽台水龍頭使用中會漏水。廠商建議：將牆壁重新油漆、裂隙處以補土修復，更換陽台水龍頭，馬桶蓋因為長期日曬產生變色及龜裂，建議更新以維護使用安全。</t>
    <phoneticPr fontId="4" type="noConversion"/>
  </si>
  <si>
    <t>04-07-05</t>
    <phoneticPr fontId="4" type="noConversion"/>
  </si>
  <si>
    <t>04-08-02</t>
    <phoneticPr fontId="4" type="noConversion"/>
  </si>
  <si>
    <t>04-08-11</t>
    <phoneticPr fontId="4" type="noConversion"/>
  </si>
  <si>
    <t>套</t>
    <phoneticPr fontId="4" type="noConversion"/>
  </si>
  <si>
    <t>組</t>
    <phoneticPr fontId="4" type="noConversion"/>
  </si>
  <si>
    <t>只</t>
    <phoneticPr fontId="4" type="noConversion"/>
  </si>
  <si>
    <t xml:space="preserve"> </t>
    <phoneticPr fontId="4" type="noConversion"/>
  </si>
  <si>
    <t>01-01-03</t>
    <phoneticPr fontId="4" type="noConversion"/>
  </si>
  <si>
    <r>
      <t>m</t>
    </r>
    <r>
      <rPr>
        <vertAlign val="superscript"/>
        <sz val="16"/>
        <color rgb="FF000000"/>
        <rFont val="微軟正黑體"/>
        <family val="2"/>
        <charset val="136"/>
      </rPr>
      <t>2</t>
    </r>
    <phoneticPr fontId="4" type="noConversion"/>
  </si>
  <si>
    <t>04-07-03</t>
    <phoneticPr fontId="4" type="noConversion"/>
  </si>
  <si>
    <t>只</t>
    <phoneticPr fontId="4" type="noConversion"/>
  </si>
  <si>
    <t>04-08-09</t>
    <phoneticPr fontId="4" type="noConversion"/>
  </si>
  <si>
    <t>支</t>
    <phoneticPr fontId="4" type="noConversion"/>
  </si>
  <si>
    <t>112年05月份月結</t>
    <phoneticPr fontId="4" type="noConversion"/>
  </si>
  <si>
    <t>臺北市羅斯福路4段68號8樓之8</t>
  </si>
  <si>
    <t>收到承租戶來電反應，表示浴室抽風機發出很大聲響，請我方派員查看。經現場勘查，發現浴室抽風機由於馬達老舊生鏽導致運轉時有大量噪音，建議更換浴室抽風機。</t>
  </si>
  <si>
    <t>新北市新店區中央路161號3樓之7</t>
  </si>
  <si>
    <t>收到住戶回報，面盆排水管有漏水狀況，請我方派員查看，經檢測，排水管因老化而產生裂痕，建議更新。</t>
    <phoneticPr fontId="4" type="noConversion"/>
  </si>
  <si>
    <t>新北市新店區中央路161號11樓之2</t>
  </si>
  <si>
    <t>收到住戶回報，浴櫃門絞鍊無法正常運作，請我方派員查看，經確認，因浴室環境潮濕，絞鍊生鏽故無法正常運作，建議更新。</t>
    <phoneticPr fontId="4" type="noConversion"/>
  </si>
  <si>
    <t>04-08-13</t>
    <phoneticPr fontId="4" type="noConversion"/>
  </si>
  <si>
    <t>組</t>
    <phoneticPr fontId="4" type="noConversion"/>
  </si>
  <si>
    <t>04-08-02</t>
    <phoneticPr fontId="4" type="noConversion"/>
  </si>
  <si>
    <t>04-09-01</t>
    <phoneticPr fontId="4" type="noConversion"/>
  </si>
  <si>
    <t>只</t>
    <phoneticPr fontId="4" type="noConversion"/>
  </si>
  <si>
    <t>新北市新店區中央路153號8樓之25</t>
  </si>
  <si>
    <t>現場主任巡視空屋時，發現有以下待修繕事項：牆面有裂縫、牆面髒汙、暖風機遙控器故障、陽台水龍頭使用中會漏水(一只)、電子鎖無法關閉上鎖，廠商建議，將牆面以補土修補，髒污處以油漆修補(需至少重複兩次方能完整復原)，更新陽台水龍頭、暖風機遙控器，電子鎖之機板、鎖舌正常，僅受口片須更新。</t>
  </si>
  <si>
    <t>01-01-01</t>
    <phoneticPr fontId="4" type="noConversion"/>
  </si>
  <si>
    <t>01-01-02</t>
    <phoneticPr fontId="4" type="noConversion"/>
  </si>
  <si>
    <t>03-04-10</t>
    <phoneticPr fontId="4" type="noConversion"/>
  </si>
  <si>
    <t>04-08-09</t>
    <phoneticPr fontId="4" type="noConversion"/>
  </si>
  <si>
    <t>04-11-01</t>
    <phoneticPr fontId="4" type="noConversion"/>
  </si>
  <si>
    <t>㎡</t>
    <phoneticPr fontId="4" type="noConversion"/>
  </si>
  <si>
    <t>支</t>
    <phoneticPr fontId="4" type="noConversion"/>
  </si>
  <si>
    <t>新北市新店區中央路153號9樓之19</t>
  </si>
  <si>
    <t>現場主任巡視空屋時，發現有以下待修繕事項：牆面有裂縫、牆面髒汙、電子鎖機板故障無法正常開關、淋浴龍頭使用時會漏水、馬桶蓋老舊氧化髒汙、浴櫃緩衝絞鍊因潮濕生鏽導致門板無法緊閉。廠商建議，將牆面以補土修補，髒污處以油漆修補(需至少重複兩次方能完整復原)，電子鎖因機板鎖舌故障建議更新、更新淋浴龍頭、更新馬桶蓋、更新緩衝絞鍊。</t>
  </si>
  <si>
    <t>03-04-02</t>
    <phoneticPr fontId="4" type="noConversion"/>
  </si>
  <si>
    <t>03-04-04</t>
    <phoneticPr fontId="4" type="noConversion"/>
  </si>
  <si>
    <t>04-06-01</t>
    <phoneticPr fontId="4" type="noConversion"/>
  </si>
  <si>
    <t>04-07-03</t>
    <phoneticPr fontId="4" type="noConversion"/>
  </si>
  <si>
    <t>新北市新店區中央路153號9樓之21</t>
  </si>
  <si>
    <t>現場主任巡視空屋時，發現有以下待修繕事項：牆面裂縫、牆面髒汙、馬桶蓋氧化老舊、陽台龍頭使用時會漏水，經確認，建議以油漆、補土修補牆面(油漆須至少刷塗兩次方能完整上色)，更換老化馬桶蓋，更換漏水龍頭。</t>
  </si>
  <si>
    <t>新北市新店區中央路153號9樓之23</t>
  </si>
  <si>
    <t>現場主任巡視空屋時，發現有以下待修繕事項：牆面裂縫、牆面髒汙、馬桶蓋氧化老舊、陽台龍頭使用時會漏水、淋浴龍頭使用時會漏水、電子鎖功能異常無法順利開關，經確認，建議以油漆、補土修補牆面(油漆須至少刷塗兩次方能完整上色)，更換老化馬桶蓋，更換漏水淋浴龍頭、陽台龍頭，電子鎖因機板故障，建議更新。</t>
  </si>
  <si>
    <t>新北市新店區中央路153號10樓</t>
  </si>
  <si>
    <t>現場主任巡視空屋時，發現有以下待修繕事項：牆面有裂縫、牆面髒汙、馬桶蓋開關不順，浴櫃絞鍊生鏽、陽台水龍頭使用中會漏水、面盆排水管老化產生裂隙導致漏水。廠商建議，將牆面以補土修補，髒污處以油漆修補(需至少重複兩次方能完整復原)；更新淋浴龍頭及浴櫃絞鏈；馬桶蓋因固定的材料老化髒污導致開關不順，建議更新；排水管無法修復，建議更新。</t>
  </si>
  <si>
    <t>新北市新店區中央路153號10樓之2</t>
  </si>
  <si>
    <t>現場主任巡視空屋時，發現有以下待修繕事項：牆面有裂縫、牆面髒汙、馬桶蓋損壞無法開關。廠商建議，將牆面以補土修補，髒污處以油漆修補(需至少重複兩次方能完整復原)，馬桶蓋因零件老化脫落無法固定，建議更新。</t>
  </si>
  <si>
    <t>新北市新店區中央路153號10樓之19</t>
  </si>
  <si>
    <t>現場主任巡視空屋時，發現有以下待修繕事項：牆面有裂縫、牆面髒汙、電子鎖機板故障無法正常開關、馬桶蓋老舊氧化髒汙、陽台水龍頭使用時會漏水。廠商建議，將牆面以補土修補，髒污處以油漆修補(需至少重複兩次方能完整復原)，電子鎖因機板故障導致鎖舌無法正常運作，建議更新、馬桶蓋老舊氧化，建議更新，陽台水龍頭建議更新。</t>
  </si>
  <si>
    <t>現場主任巡視空屋時，發現有以下待修繕事項：牆面有裂縫、牆面髒汙、電子鎖機板故障無法正常開關、馬桶蓋老舊氧化髒汙、陽台水龍頭使用時會漏水。廠商建議，將牆面以補土修補，髒污處以油漆修補(需至少重複兩次方能完整復原)，電子鎖因機板故障導致鎖舌無法正常運作，建議更新、馬桶蓋老舊氧化，建議更新，陽台水龍頭建議更新。</t>
    <phoneticPr fontId="4" type="noConversion"/>
  </si>
  <si>
    <t>新北市新店區中央路153號10樓之22</t>
  </si>
  <si>
    <t>現場主任巡視空屋時，發現有以下待修繕事項：牆面有裂縫、牆面髒汙、陽台龍頭使用時會漏水、室內髒汙需要清潔。廠商建議，將牆面以補土修補，髒污處以油漆修補(需至少重複兩次方能完整復原)、更新陽台龍頭、進行室內清潔。</t>
    <phoneticPr fontId="4" type="noConversion"/>
  </si>
  <si>
    <t>06-01-01</t>
    <phoneticPr fontId="4" type="noConversion"/>
  </si>
  <si>
    <t>戶</t>
    <phoneticPr fontId="4" type="noConversion"/>
  </si>
  <si>
    <t>新北市新店區中央路153號10樓之25</t>
  </si>
  <si>
    <t>現場主任巡視空屋時，發現有以下待修繕事項：牆面有裂縫、牆面髒汙、陽台龍頭使用時會漏水、浴櫃緩衝絞鍊功能異常、室內粉塵嚴重。廠商建議，將牆面以補土修補，髒污處以油漆修補(需至少重複兩次方能完整復原)，浴櫃絞鍊因環境潮濕而生鏽老化，建議更新、陽台龍頭零件因老化而漏水，建議更新、由於室內牆面殘膠嚴重，修補時產生大量粉塵，建議進行環境整理以維護使用者健康。</t>
    <phoneticPr fontId="4" type="noConversion"/>
  </si>
  <si>
    <t>新北市新店區中央路153號11樓之5</t>
  </si>
  <si>
    <t>現場主任巡視空屋時，發現有以下待修繕事項：牆面有裂縫、牆面髒汙、電子鎖機板故障無法正常開關、陽台龍頭使用時會漏水、馬桶蓋老舊氧化髒汙、原承租人搬離後室內過於骯髒不衛生。廠商建議，將牆面以補土修補，髒污處以油漆修補(需至少重複兩次方能完整復原)，電子鎖因機板腐蝕故障建議更新、更新陽台龍頭、更新馬桶蓋，清潔室內。</t>
  </si>
  <si>
    <t>新北市新店區中央路153號11樓之8</t>
  </si>
  <si>
    <t>現場主任巡視空屋時，發現有以下待修繕事項：牆面有裂縫、牆面髒汙、面盆排水管老化損壞、淋浴龍頭使用時無水、馬桶蓋老舊氧化髒汙、浴櫃緩衝絞鍊因潮濕而生鏽。廠商建議，將牆面以補土修補，髒污處以油漆修補(需至少重複兩次方能完整復原)、更新面盆排水管、更新淋浴龍頭、更新馬桶蓋、更新緩衝絞鍊。</t>
  </si>
  <si>
    <t>新北市新店區中央路153號11樓之15</t>
  </si>
  <si>
    <t>現場主任巡視空屋時，發現有以下待修繕事項：牆面有裂縫、牆面髒汙、面盆龍頭使用時會漏水、陽台龍頭使用中會漏水、馬桶蓋老舊氧化髒汙。現場主任巡視空屋時，發現有以下待修繕事項：牆面有裂縫、牆面髒汙、面盆龍頭使用時會漏水、陽台龍頭使用中會漏水、馬桶蓋老舊氧化髒汙。</t>
  </si>
  <si>
    <t>新北市新店區中央路153號11樓之20</t>
  </si>
  <si>
    <t>現場主任巡視空屋時，發現有以下待修繕事項：牆面有裂縫、牆面髒汙。廠商建議，將牆面以補土修補，髒污處以油漆修補(需至少重複兩次方能完整復原)。</t>
    <phoneticPr fontId="4" type="noConversion"/>
  </si>
  <si>
    <t>新北市新店區中央路153號11樓之21</t>
  </si>
  <si>
    <t>現場主任巡視空屋時，發現有以下待修繕事項：牆面有裂縫、牆面髒汙、電子鎖機板故障無法正常開關、面盆龍頭老化損壞、陽台龍頭使用時會漏水、馬桶蓋老舊氧化髒汙。廠商建議，將牆面以補土修補，髒污處以油漆修補(需至少重複兩次方能完整復原)；電子鎖因機板故障導致鎖舌無法正常運作，建議更新；更新面盆龍頭、更新陽台龍頭、更新馬桶蓋。</t>
  </si>
  <si>
    <t>新北市新店區中央路153號12樓</t>
  </si>
  <si>
    <t>現場主任巡視空屋時，發現有以下待修繕事項：牆面有裂縫、牆面髒汙、陽台龍頭使用時會漏水、馬桶蓋老舊氧化髒汙、暖風機遙控器按鍵故障功能異常。廠商建議，將牆面以補土修補，髒污處以油漆修補(需至少重複兩次方能完整復原)、更新老舊陽台龍頭、更新老舊馬桶蓋、暖風機遙控器按鈕無法單獨修復，建議更新。</t>
    <phoneticPr fontId="4" type="noConversion"/>
  </si>
  <si>
    <t>04-11-01</t>
    <phoneticPr fontId="4" type="noConversion"/>
  </si>
  <si>
    <t>新北市新店區中央路153號12樓之23</t>
  </si>
  <si>
    <t>現場主任巡視空屋時，發現有以下待修繕事項：牆面有裂縫、牆面髒汙、淋浴龍頭使用時會漏水、陽台龍頭使用中會漏水。廠商建議，將牆面以補土修補，髒污處以油漆修補(需至少重複兩次方能完整復原)、更新老舊淋浴龍頭、更新老舊陽台龍頭、更新馬桶蓋。</t>
  </si>
  <si>
    <t>新北市新店區中央路153號13樓之25</t>
  </si>
  <si>
    <t>現場主任巡視空屋時，發現有以下待修繕事項：牆面有裂縫、牆面髒汙、陽台龍頭使用時會漏水。廠商建議，將牆面以補土修補，髒污處以油漆修補(需至少重複兩次方能完整復原)，更新陽台龍頭。</t>
  </si>
  <si>
    <t>新北市新店區中央路153號14樓</t>
  </si>
  <si>
    <t>現場主任巡視空屋時，發現有以下待修繕事項：牆面有裂縫、牆面髒汙、淋浴龍頭使用時會漏水。廠商建議，將牆面以補土修補，髒污處以油漆修補(需至少重複兩次方能完整復原)、更新淋浴龍頭。</t>
    <phoneticPr fontId="4" type="noConversion"/>
  </si>
  <si>
    <t>新北市新店區中央路153號14樓之6</t>
  </si>
  <si>
    <t>現場主任巡視空屋時，發現有以下待修繕事項：牆面有裂縫、牆面髒汙、淋浴龍頭使用時會漏水。廠商建議，將牆面以補土修補，髒污處以油漆修補(需至少重複兩次方能完整復原)、更新老舊淋浴龍頭。</t>
    <phoneticPr fontId="4" type="noConversion"/>
  </si>
  <si>
    <t>新北市新店區中央路153號14樓之10</t>
  </si>
  <si>
    <t>新北市新店區中央路153號14樓之18</t>
  </si>
  <si>
    <t>現場主任巡視空屋時，發現有以下待修繕事項：牆面有裂縫、牆面髒汙、陽台龍頭使用時會漏水、馬桶蓋老舊氧化髒汙。廠商建議，將牆面以補土修補，髒污處以油漆修補(需至少重複兩次方能完整復原)、更新老舊陽台龍頭、更新老舊馬桶蓋。</t>
  </si>
  <si>
    <t>新北市新店區中央路153號14樓之21</t>
  </si>
  <si>
    <t>現場主任巡視空屋時，發現有以下待修繕事項：牆面有裂縫、牆面髒汙、陽台龍頭使用時會漏水。廠商建議，將牆面以補土修補，髒污處以油漆修補(需至少重複兩次方能完整復原)、更新老舊陽台龍頭。</t>
    <phoneticPr fontId="4" type="noConversion"/>
  </si>
  <si>
    <t>新北市新店區中央路153號15樓之22</t>
  </si>
  <si>
    <t>現場主任巡視空屋時，發現有以下待修繕事項：牆面有裂縫、牆面髒汙、電子鎖機板故障無法正常開關、陽台龍頭使用時會漏水。廠商建議，將牆面以補土修補，髒污處以油漆修補(需至少重複兩次方能完整復原)，電子鎖因機板故障建議更新、更新陽台龍頭。</t>
    <phoneticPr fontId="4" type="noConversion"/>
  </si>
  <si>
    <t>新北市新店區中央路153號16樓</t>
  </si>
  <si>
    <t>現場主任巡視空屋時，發現有以下待修繕事項：牆面有裂縫、牆面髒汙、淋浴龍頭使用時會漏水、陽台龍頭使用時會漏水。廠商建議，將牆面以補土修補，髒污處以油漆修補(需至少重複兩次方能完整復原)、更新淋浴龍頭、更新陽台龍頭。</t>
  </si>
  <si>
    <t>新北市新店區中央路153號16樓之6</t>
  </si>
  <si>
    <t>現場主任巡視空屋時，發現有以下待修繕事項：牆面有裂縫、牆面髒汙、電子鎖機板故障無法正常開關。廠商建議，將牆面以補土修補，髒污處以油漆修補(需至少重複兩次方能完整復原)，電子鎖因機板鎖舌故障建議更新。</t>
  </si>
  <si>
    <t>新北市新店區中央路153號18樓</t>
  </si>
  <si>
    <t>現場主任巡視空屋時，發現有以下待修繕事項：牆面有裂縫、牆面髒汙、馬桶蓋老舊氧化髒汙。廠商建議，將牆面以補土修補，髒污處以油漆修補(需至少重複兩次方能完整復原)、更新馬桶蓋。</t>
    <phoneticPr fontId="4" type="noConversion"/>
  </si>
  <si>
    <t>新北市新店區中央路153號18樓之8</t>
  </si>
  <si>
    <t>新北市新店區中央路153號18樓之9</t>
  </si>
  <si>
    <t>現場主任巡視空屋時，發現有以下待修繕事項：牆面有裂縫、牆面髒汙。廠商建議，將牆面以補土修補，髒污處以油漆修補(需至少重複兩次方能完整復原)</t>
    <phoneticPr fontId="4" type="noConversion"/>
  </si>
  <si>
    <t>新北市新店區中央路153號18樓之12</t>
  </si>
  <si>
    <t>現場主任巡視空屋時，發現有以下待修繕事項：牆面有裂縫、牆面髒汙、電子鎖機板故障無法正常開關。廠商建議，將牆面以補土修補，髒污處以油漆修補(需至少重複兩次方能完整復原)，電子鎖因機板故障建議更新。</t>
  </si>
  <si>
    <t>新北市新店區中央路153號19樓之3</t>
  </si>
  <si>
    <t>現場主任巡視空屋時，發現有以下待修繕事項：牆面有裂縫、牆面髒汙、陽台龍頭使用時會漏水、馬桶蓋老舊氧化髒汙。廠商建議，將牆面以補土修補，髒污處以油漆修補(需至少重複兩次方能完整復原)、更新陽台龍頭、更新馬桶蓋。</t>
  </si>
  <si>
    <t>新北市新店區中央路153號20樓</t>
  </si>
  <si>
    <t>現場主任巡視空屋時，發現有以下待修繕事項：牆面有裂縫、牆面髒汙、陽台水龍頭使用時會漏水。廠商建議，將牆面以補土修補，髒污處以油漆修補(需至少重複兩次方能完整復原)、更新陽台龍頭。</t>
    <phoneticPr fontId="4" type="noConversion"/>
  </si>
  <si>
    <t>新北市新店區中央路153號20樓之13</t>
    <phoneticPr fontId="4" type="noConversion"/>
  </si>
  <si>
    <t>現場主任巡視空屋時，發現有以下待修繕事項：牆面有裂縫、牆面髒汙、室內壁癌、客廳窗框處有漏水狀況、現場環境髒汙。廠商建議，將壁癌處刮除，牆面以補土修補，髒污處以油漆修補(需至少重複兩次方能完整復原)、漏水處開設檢修孔做後續處理、因前承租人於室內堆放大量垃圾，清除後環境仍十分髒汙，建議進行清潔。</t>
    <phoneticPr fontId="4" type="noConversion"/>
  </si>
  <si>
    <t>06-09-01</t>
    <phoneticPr fontId="4" type="noConversion"/>
  </si>
  <si>
    <t>式</t>
    <phoneticPr fontId="4" type="noConversion"/>
  </si>
  <si>
    <t>新北市新店區中央路153號20樓之21</t>
  </si>
  <si>
    <t>新北市新店區中央路153號20樓之26</t>
  </si>
  <si>
    <t>現場主任巡視空屋時，發現有以下待修繕事項：牆面有裂縫、牆面髒汙，廠商建議，將牆面以補土修補，髒污處以油漆修補(需至少重複兩次方能完整復原)。</t>
    <phoneticPr fontId="4" type="noConversion"/>
  </si>
  <si>
    <t>新北市新店區中央路153號21樓之3</t>
  </si>
  <si>
    <t>現場主任巡視空屋時，發現有以下待修繕事項：牆面有裂縫、牆面髒汙、陽台龍頭使用時會漏水、馬桶蓋老舊氧化髒汙。廠商建議，將牆面以補土修補，髒污處以油漆修補(需至少重複兩次方能完整復原)、更新老舊淋浴龍頭、更新老舊馬桶蓋。</t>
  </si>
  <si>
    <t>新北市新店區中央路153號22樓之8</t>
  </si>
  <si>
    <t>新北市新店區中央路153號22樓之10</t>
  </si>
  <si>
    <t>新北市新店區中央路153號22樓之21</t>
  </si>
  <si>
    <t>現場主任巡視空屋時，發現有以下待修繕事項：牆面有裂縫、牆面髒汙、陽台龍頭使用時會漏水、面盆排水管因老化產生裂痕漏水。廠商建議，將牆面以補土修補，髒污處以油漆修補(需至少重複兩次方能完整復原)、更新老舊陽台龍頭、更新排水管。</t>
  </si>
  <si>
    <t>新北市新店區中央路153號24樓</t>
  </si>
  <si>
    <t>現場主任巡視空屋時，發現有以下待修繕事項：牆面有裂縫、牆面髒汙、電子鎖前機板變型故障，廠商建議，將牆面以補土修補，髒污處以油漆修補(需至少重複兩次方能完整復原)，電子鎖因前面板零件老化變型故障，建議更新前面板。</t>
  </si>
  <si>
    <t>式</t>
    <phoneticPr fontId="4" type="noConversion"/>
  </si>
  <si>
    <t>03-04-08</t>
    <phoneticPr fontId="4" type="noConversion"/>
  </si>
  <si>
    <t>新北市新店區中央路153號24樓之22</t>
  </si>
  <si>
    <t>現場主任巡視空屋時，發現有以下待修繕事項：牆面有裂縫、牆面髒汙、陽台龍頭使用時會漏水。廠商建議，將牆面以補土修補，髒污處以油漆修補(需至少重複兩次方能完整復原)、更新陽台龍頭。</t>
    <phoneticPr fontId="4" type="noConversion"/>
  </si>
  <si>
    <t>新北市新店區中央路153號24樓之25</t>
  </si>
  <si>
    <t>現場主任巡視空屋時，發現有以下待修繕事項：牆面有裂縫、牆面髒汙、電子鎖機板鎖舌故障無法正常開關。廠商建議，將牆面以補土修補，髒污處以油漆修補(需至少重複兩次方能完整復原)，電子鎖因機板鎖舌故障建議更新。</t>
    <phoneticPr fontId="4" type="noConversion"/>
  </si>
  <si>
    <t>現場主任巡視空屋時，發現有以下待修繕事項：牆面有裂縫、牆面髒汙、電子鎖損壞無法正常開關門、暖風機遙控器按鍵故障功能異常、馬桶蓋老舊氧化髒汙。廠商建議，將牆面以補土修補，髒污處以油漆修補(需至少重複兩次方能完整復原)，電子鎖因內部零件故障導致外殼變型壓迫機版損壞，建議更新、更新老舊氧化馬桶蓋、更新按鍵損壞遙控器。</t>
    <phoneticPr fontId="4" type="noConversion"/>
  </si>
  <si>
    <t>新北市新店區中央路161號2樓</t>
    <phoneticPr fontId="4" type="noConversion"/>
  </si>
  <si>
    <t>新北市新店區中央路161號2樓之3</t>
  </si>
  <si>
    <t>案號2施作項目數量總計</t>
    <phoneticPr fontId="4" type="noConversion"/>
  </si>
  <si>
    <t>案號5施作項目數量總計</t>
    <phoneticPr fontId="4" type="noConversion"/>
  </si>
  <si>
    <t>案號6施作項目數量總計</t>
    <phoneticPr fontId="4" type="noConversion"/>
  </si>
  <si>
    <t>案號7施作項目數量總計</t>
    <phoneticPr fontId="4" type="noConversion"/>
  </si>
  <si>
    <t>案號8施作項目數量總計</t>
    <phoneticPr fontId="4" type="noConversion"/>
  </si>
  <si>
    <t>112年06月份月結</t>
    <phoneticPr fontId="4" type="noConversion"/>
  </si>
  <si>
    <t>新北市新店區中央路153號21樓之8</t>
  </si>
  <si>
    <t>收到承租人反應，大門電子鎖功能異常，無法使用磁卡解鎖開門。經廠商現場檢查，確認是電子鎖機板故障，無法順利推動門舌解鎖，建議更新電子鎖。</t>
  </si>
  <si>
    <t>未稅金額小計(1)</t>
    <phoneticPr fontId="4" type="noConversion"/>
  </si>
  <si>
    <t>總計</t>
    <phoneticPr fontId="4" type="noConversion"/>
  </si>
  <si>
    <t>112年07月份月結</t>
    <phoneticPr fontId="4" type="noConversion"/>
  </si>
  <si>
    <t>新北市新店區中央路153號19樓之12</t>
    <phoneticPr fontId="4" type="noConversion"/>
  </si>
  <si>
    <t>房屋租約續租前，收到承租人反應，電子鎖無法正常上鎖/解鎖，請我方派員查看，續租點交時，經廠商檢測，確認是門鎖鎖舌內簧鬆脫，無法自動上鎖，建議更新，配合承租人時間進行修繕。</t>
    <phoneticPr fontId="4" type="noConversion"/>
  </si>
  <si>
    <t>新北市新店區中央路153號17樓之12</t>
    <phoneticPr fontId="4" type="noConversion"/>
  </si>
  <si>
    <t>房屋租約續租前，收到承租人反應，電子鎖無法正常上鎖/解鎖，請我方派員查看，續租點交時，經廠商檢測，確認是門鎖馬達故障，無法感應驅動開鎖，建議更新，配合承租人時間進行修繕。</t>
    <phoneticPr fontId="4" type="noConversion"/>
  </si>
  <si>
    <t>房屋租約續租前，收到承租人反應，電子鎖無法正常上鎖/解鎖，請我方派員查看，續租點交時，經廠商檢測，確認是門鎖基板故障，無法感應開鎖，建議更新，配合承租人時間進行修繕。</t>
    <phoneticPr fontId="4" type="noConversion"/>
  </si>
  <si>
    <t>新北市新店區中央路153號10樓之26</t>
    <phoneticPr fontId="4" type="noConversion"/>
  </si>
  <si>
    <t>房屋租約續租前，收到承租人反應，電子鎖無法正常上鎖/解鎖，請我方派員查看，續租點交時，經廠商檢測，確認是門鎖馬達開鎖時，無法完全收回鎖栓，建議更新，配合承租人時間進行修繕。</t>
    <phoneticPr fontId="4" type="noConversion"/>
  </si>
  <si>
    <t>新北市新店區中央路153號10樓之20</t>
    <phoneticPr fontId="4" type="noConversion"/>
  </si>
  <si>
    <t>房屋租約續租前，收到承租人反應，電子鎖無法正常上鎖/解鎖，請我方派員查看，續租點交時，經廠商檢測，確認是門鎖鎖舌老化內縮有落差間隙，無法正常運作，建議更新，配合承租人時間進行修繕。</t>
    <phoneticPr fontId="4" type="noConversion"/>
  </si>
  <si>
    <t>新北市新店區中央路153號11樓之26</t>
    <phoneticPr fontId="4" type="noConversion"/>
  </si>
  <si>
    <t>房屋租約續租前，收到承租人反應，電子鎖無法正常上鎖/解鎖，請我方派員查看，續租點交時，經廠商檢測，確認是鎖舌老化內縮有落差，時有短路無法正常使用，建議更新，配合承租人時間進行修繕。</t>
    <phoneticPr fontId="4" type="noConversion"/>
  </si>
  <si>
    <t>新北市新店區中央路161號5樓之5</t>
    <phoneticPr fontId="4" type="noConversion"/>
  </si>
  <si>
    <t>收到承租人反應，電子鎖功能異常，無法正常開關門解鎖，請我方派員查看，經廠商查看，確認是門鎖軸心脫離故障，導致無法正常開鎖，建議更新。</t>
    <phoneticPr fontId="4" type="noConversion"/>
  </si>
  <si>
    <t>新北市新店區中央路153號17樓之9</t>
    <phoneticPr fontId="4" type="noConversion"/>
  </si>
  <si>
    <t>新店區公所站
(捷22)</t>
    <phoneticPr fontId="4" type="noConversion"/>
  </si>
  <si>
    <t>新北市新店區北新路1段293號7樓之5</t>
    <phoneticPr fontId="4" type="noConversion"/>
  </si>
  <si>
    <t>承租人來電反映，電梯磁卡無法感應，請我方派員查看。經現場主任至都會通大廈管理中心檢測，電梯磁卡確實無法感應。建議將無法感應之門禁卡作廢，更換新磁扣。</t>
    <phoneticPr fontId="4" type="noConversion"/>
  </si>
  <si>
    <t>新北市新店區中央路161號15樓之7</t>
    <phoneticPr fontId="4" type="noConversion"/>
  </si>
  <si>
    <t>收到承租人反應，電子鎖功能不正常，請我方派員查看，經廠商檢測，確認是門鎖驅動馬達連結故障，無法正常運作，建議更新。</t>
    <phoneticPr fontId="4" type="noConversion"/>
  </si>
  <si>
    <t>新北市新店區中央路153號8樓之2</t>
    <phoneticPr fontId="4" type="noConversion"/>
  </si>
  <si>
    <t>房屋租約續租前，收到承租人反應，電子鎖無法正常上鎖/解鎖，請我方派員查看，續租點交時，經廠商檢測，確認是門鎖鎖舌老化，無法自動上鎖，建議更新，配合承租人時間進行修繕。</t>
    <phoneticPr fontId="4" type="noConversion"/>
  </si>
  <si>
    <t>房屋租約續租前，收到承租人反應，電子鎖無法正常上鎖/解鎖，請我方派員查看，續租點交時，經廠商檢測，確認是門鎖鎖舌簧鬆零件鬆脫，無法正常運作，建議更新，配合承租人時間進行修繕。</t>
    <phoneticPr fontId="4" type="noConversion"/>
  </si>
  <si>
    <t>新北市新店區中央路153號12樓之25</t>
    <phoneticPr fontId="4" type="noConversion"/>
  </si>
  <si>
    <t>房屋租約續租前，收到承租人反應，電子鎖無法正常上鎖/解鎖，請我方派員查看，續租點交時，經廠商檢測，確認是門鎖鎖舌老化內縮產生落差間隙，無法正常運作，建議更新，配合承租人時間進行修繕。</t>
    <phoneticPr fontId="4" type="noConversion"/>
  </si>
  <si>
    <t>新北市新店區中央路161號10樓</t>
    <phoneticPr fontId="4" type="noConversion"/>
  </si>
  <si>
    <t>收到承租人反應，廚房流理臺水龍頭故障，水龍頭旁邊孔洞有同時出水狀況，請我方派員修繕。經現場勘查，發現水龍頭內部由於生鏽老化無法止水，故有同時出水的狀況，建議更換水龍頭。</t>
    <phoneticPr fontId="4" type="noConversion"/>
  </si>
  <si>
    <t>新北市新店區中央路153號8樓之12</t>
    <phoneticPr fontId="4" type="noConversion"/>
  </si>
  <si>
    <t>03-04-02</t>
    <phoneticPr fontId="4" type="noConversion"/>
  </si>
  <si>
    <t>個</t>
    <phoneticPr fontId="4" type="noConversion"/>
  </si>
  <si>
    <t>1</t>
    <phoneticPr fontId="4" type="noConversion"/>
  </si>
  <si>
    <t>03-04-04</t>
    <phoneticPr fontId="4" type="noConversion"/>
  </si>
  <si>
    <t>式</t>
    <phoneticPr fontId="4" type="noConversion"/>
  </si>
  <si>
    <t>03-04-01</t>
    <phoneticPr fontId="4" type="noConversion"/>
  </si>
  <si>
    <t>04-05-03</t>
    <phoneticPr fontId="4" type="noConversion"/>
  </si>
  <si>
    <t>組</t>
    <phoneticPr fontId="4" type="noConversion"/>
  </si>
  <si>
    <t>編號</t>
    <phoneticPr fontId="4" type="noConversion"/>
  </si>
  <si>
    <t>案號4施作項目數量總計</t>
    <phoneticPr fontId="4" type="noConversion"/>
  </si>
  <si>
    <t>案號1施作項目數量總計</t>
    <phoneticPr fontId="4" type="noConversion"/>
  </si>
  <si>
    <t>03-04-02</t>
    <phoneticPr fontId="4" type="noConversion"/>
  </si>
  <si>
    <t>案號1加總金額</t>
    <phoneticPr fontId="4" type="noConversion"/>
  </si>
  <si>
    <t>案號1加總金額</t>
    <phoneticPr fontId="4" type="noConversion"/>
  </si>
  <si>
    <t>總計</t>
    <phoneticPr fontId="4" type="noConversion"/>
  </si>
  <si>
    <t>112年08月份月結</t>
    <phoneticPr fontId="4" type="noConversion"/>
  </si>
  <si>
    <t>新北市新店區中央路153號25樓之21</t>
  </si>
  <si>
    <t>收到承租人反應，大門電子鎖故障無法使用，請我方派員處理。經廠商檢查，發現是鎖匣受潮鏽蝕 ，導致短路門舌無法正常解鎖，需進行鎖匣更新。</t>
  </si>
  <si>
    <t>03-04-04</t>
    <phoneticPr fontId="4" type="noConversion"/>
  </si>
  <si>
    <t>03-04-05</t>
    <phoneticPr fontId="4" type="noConversion"/>
  </si>
  <si>
    <t>式</t>
    <phoneticPr fontId="4" type="noConversion"/>
  </si>
  <si>
    <t>組</t>
    <phoneticPr fontId="4" type="noConversion"/>
  </si>
  <si>
    <t>新北市新店區中央路153號25樓之26</t>
  </si>
  <si>
    <t>續約檢查設備時，發現門鎖故障，無法正常開關及上鎖、解鎖。經廠商檢查，發現是鎖舌老化內縮有間距，馬達無法驅動收回導致無法正常開鎖、解鎖，建議更換電子鎖。</t>
  </si>
  <si>
    <t>03-04-02</t>
    <phoneticPr fontId="4" type="noConversion"/>
  </si>
  <si>
    <t>03-04-04</t>
    <phoneticPr fontId="4" type="noConversion"/>
  </si>
  <si>
    <t>03-04-05</t>
    <phoneticPr fontId="4" type="noConversion"/>
  </si>
  <si>
    <t>式</t>
    <phoneticPr fontId="4" type="noConversion"/>
  </si>
  <si>
    <t>組</t>
    <phoneticPr fontId="4" type="noConversion"/>
  </si>
  <si>
    <t>新北市新店區中央路161號12樓之3</t>
  </si>
  <si>
    <t>收到承租人反應，室內牆面發霉嚴重，請我方派員查看，經廠商確認，該戶因面朝新店溪，迎風面水氣較重，室內牆面因潮濕極易產生發霉狀況，建議以防水漆加強表面防濕能力，並以油漆將發霉處修補復原。</t>
  </si>
  <si>
    <t>01-01-03</t>
    <phoneticPr fontId="4" type="noConversion"/>
  </si>
  <si>
    <t>新北市新店區中央路153號11樓之8</t>
    <phoneticPr fontId="4" type="noConversion"/>
  </si>
  <si>
    <t>收到承租人反應，室內窗邊的天花半板有漏水狀況，請我方派員查看。經廠商查看，由於是夾板上方有漏水狀況，需要設置維修孔到上方查看漏水原因。</t>
    <phoneticPr fontId="4" type="noConversion"/>
  </si>
  <si>
    <t>06-09-01</t>
    <phoneticPr fontId="4" type="noConversion"/>
  </si>
  <si>
    <t>㎡</t>
    <phoneticPr fontId="4" type="noConversion"/>
  </si>
  <si>
    <t>㎡</t>
    <phoneticPr fontId="4" type="noConversion"/>
  </si>
  <si>
    <t>式</t>
    <phoneticPr fontId="4" type="noConversion"/>
  </si>
  <si>
    <t>新店機廠站
(捷17、18、19)</t>
    <phoneticPr fontId="4" type="noConversion"/>
  </si>
  <si>
    <t>新北市新店區中央路153號24樓之10</t>
  </si>
  <si>
    <t>收到承租人反應陽台水龍頭漏水，請我方派員查看，經廠商確認，水龍頭因陶瓷零件老化導致漏水，建議更新。</t>
    <phoneticPr fontId="4" type="noConversion"/>
  </si>
  <si>
    <t>新店機廠站
(捷17、18、19)</t>
    <phoneticPr fontId="4" type="noConversion"/>
  </si>
  <si>
    <t>新北市新店區中央路153號29樓之3</t>
    <phoneticPr fontId="4" type="noConversion"/>
  </si>
  <si>
    <t>收到承租人反應，面盆底部有漏水狀況，請我方派員查看，經廠商確認，面盆排水管因老舊而產生裂縫導致漏水，建議更新。</t>
    <phoneticPr fontId="4" type="noConversion"/>
  </si>
  <si>
    <t>04-08-02</t>
    <phoneticPr fontId="4" type="noConversion"/>
  </si>
  <si>
    <t>組</t>
    <phoneticPr fontId="4" type="noConversion"/>
  </si>
  <si>
    <t>新北市新店區中央路153號19樓之9</t>
  </si>
  <si>
    <t>收到承租人反應，電子鎖無法正常上鎖/解鎖，請我方派員查看，經廠商檢測，確認是門鎖鎖舌內簧鬆脫內縮，無法確實上鎖，建議更新。</t>
  </si>
  <si>
    <t>03-04-02</t>
    <phoneticPr fontId="4" type="noConversion"/>
  </si>
  <si>
    <t>03-04-04</t>
    <phoneticPr fontId="4" type="noConversion"/>
  </si>
  <si>
    <t>個</t>
    <phoneticPr fontId="4" type="noConversion"/>
  </si>
  <si>
    <t>式</t>
    <phoneticPr fontId="4" type="noConversion"/>
  </si>
  <si>
    <t>新北市新店區中央路161號21樓之1</t>
    <phoneticPr fontId="4" type="noConversion"/>
  </si>
  <si>
    <t>收到承租人反應，家中天花板、窗台等多處牆面壁癌狀況，請我方派員查看。經廠商確認，該戶因鄰近新店溪，水氣較重，室內牆面因潮濕極易產生壁癌發霉狀況，建議將壁癌處重新油漆修補復原。</t>
    <phoneticPr fontId="4" type="noConversion"/>
  </si>
  <si>
    <t>㎡</t>
    <phoneticPr fontId="4" type="noConversion"/>
  </si>
  <si>
    <t>01-01-01</t>
    <phoneticPr fontId="4" type="noConversion"/>
  </si>
  <si>
    <t>新北市新店區中央路153號26樓之5</t>
    <phoneticPr fontId="4" type="noConversion"/>
  </si>
  <si>
    <t>收到承租人反應，大門電子鎖故障無法使用，請我方派員處理。經廠商檢查，發現是電子鎖機板受潮短路，無法使用，建議更換電子鎖。</t>
  </si>
  <si>
    <t>新店區公所站
(捷22)</t>
    <phoneticPr fontId="4" type="noConversion"/>
  </si>
  <si>
    <t>新店區公所站
(捷22)</t>
    <phoneticPr fontId="4" type="noConversion"/>
  </si>
  <si>
    <t>新北市新店區北新路1段293號4樓之3</t>
    <phoneticPr fontId="4" type="noConversion"/>
  </si>
  <si>
    <t>承租人來訊反應，辦公室內有4盞燈具不亮，請我方派員查看。現場主任偕同廠商於8/14更換燈管時一併檢測，發現有4組燈具其燈盤損壞，廠商建議應更換輕鋼架燈座。</t>
    <phoneticPr fontId="4" type="noConversion"/>
  </si>
  <si>
    <t>04-11-09</t>
    <phoneticPr fontId="4" type="noConversion"/>
  </si>
  <si>
    <t>組</t>
    <phoneticPr fontId="4" type="noConversion"/>
  </si>
  <si>
    <t>新北市新店區中央路153號23樓之16</t>
  </si>
  <si>
    <t>現場主任巡視空屋時，確認有以下待修繕事項：室內牆面髒污裂痕，陽台水龍頭因內部零件老舊導致使用時漏水，廠商建議：以油漆補土將牆面復原，更換老舊損壞之水龍頭。</t>
  </si>
  <si>
    <t>01-01-01</t>
    <phoneticPr fontId="4" type="noConversion"/>
  </si>
  <si>
    <t>01-01-02</t>
    <phoneticPr fontId="4" type="noConversion"/>
  </si>
  <si>
    <t>04-08-09</t>
    <phoneticPr fontId="4" type="noConversion"/>
  </si>
  <si>
    <t>㎡</t>
    <phoneticPr fontId="4" type="noConversion"/>
  </si>
  <si>
    <t>支</t>
    <phoneticPr fontId="4" type="noConversion"/>
  </si>
  <si>
    <t>新北市新店區中央路153號23樓之26</t>
  </si>
  <si>
    <t>現場主任巡視空屋時，確認有以下待修繕事項：室內牆面髒污裂痕，陽台水龍頭因內部零件老舊導致使用時漏水、電子鎖鎖舌老化故障導致無法正常開關門，廠商建議，以油漆補土復原牆面(須至少施作兩次方能完整上色)、更新陽台水龍頭、更新電子鎖。</t>
  </si>
  <si>
    <t>03-04-04</t>
    <phoneticPr fontId="4" type="noConversion"/>
  </si>
  <si>
    <t>個</t>
    <phoneticPr fontId="4" type="noConversion"/>
  </si>
  <si>
    <t>04-08-09</t>
    <phoneticPr fontId="4" type="noConversion"/>
  </si>
  <si>
    <t>支</t>
    <phoneticPr fontId="4" type="noConversion"/>
  </si>
  <si>
    <t>新北市新店區中央路153號11樓</t>
    <phoneticPr fontId="4" type="noConversion"/>
  </si>
  <si>
    <t>承租戶來電反應室內有漏水現象，請我方派員查看。經現場勘查，住戶室內靠近窗戶區域的天花板有漏水現象，需設置檢修孔進一步勘查判斷。</t>
    <phoneticPr fontId="4" type="noConversion"/>
  </si>
  <si>
    <t>06-09-01</t>
    <phoneticPr fontId="4" type="noConversion"/>
  </si>
  <si>
    <t>式</t>
    <phoneticPr fontId="4" type="noConversion"/>
  </si>
  <si>
    <t>112年09月份月結</t>
    <phoneticPr fontId="4" type="noConversion"/>
  </si>
  <si>
    <t>臺北市羅斯福路4段68號8樓之1</t>
    <phoneticPr fontId="4" type="noConversion"/>
  </si>
  <si>
    <t>易享科技黃小姐來電報修，廁所面盆龍頭無法出水，以及排水管有漏水情形，請我方派員勘查。經廠商現場勘查，面盆龍頭內軸心損壞，故無法出水及控制水量；面盆排水管有破裂情形造成漏水，建議更新面盆水龍頭及面盆排水管。</t>
  </si>
  <si>
    <t>組</t>
    <phoneticPr fontId="4" type="noConversion"/>
  </si>
  <si>
    <t>組</t>
    <phoneticPr fontId="4" type="noConversion"/>
  </si>
  <si>
    <t>04-08-02</t>
    <phoneticPr fontId="4" type="noConversion"/>
  </si>
  <si>
    <t>新北市新店區中央路153號16樓之21</t>
    <phoneticPr fontId="4" type="noConversion"/>
  </si>
  <si>
    <t>收到承租人反應，大門電子鎖故障無法上鎖，請我方派員處理。經廠商檢查，發現是門鎖感應紐老化內縮及機板故障，感應無作用，無法上鎖、解鎖，需進行電子鎖更換。</t>
    <phoneticPr fontId="4" type="noConversion"/>
  </si>
  <si>
    <t>新北市新店區中央路153號24樓之7</t>
    <phoneticPr fontId="4" type="noConversion"/>
  </si>
  <si>
    <t>收到承租戶來電反應，廚房流理台水龍頭漏水狀況，請我方派員查看。經現場勘查，發現水龍頭內部由於生鏽老化無法止水，導致漏水，建議更換水龍頭。</t>
    <phoneticPr fontId="4" type="noConversion"/>
  </si>
  <si>
    <t>04-05-03</t>
    <phoneticPr fontId="4" type="noConversion"/>
  </si>
  <si>
    <t>04-08-03</t>
    <phoneticPr fontId="4" type="noConversion"/>
  </si>
  <si>
    <t>112年10月份月結</t>
    <phoneticPr fontId="4" type="noConversion"/>
  </si>
  <si>
    <t>新北市新店區中央路153號11樓之16</t>
  </si>
  <si>
    <t>收到承租人反應，電子鎖異常，無法正常開關門鎖，請我方派員查看。經廠商查看，確認是後機板及電池盒因門板受潮而故障無法感應、導致無法正常開鎖，建議更新後機板及電池盒。</t>
  </si>
  <si>
    <t>收到承租人反應，大門電子鎖故障無法上鎖，請我方派員處理。經廠商檢查，發現是門鎖機板故障，感應無作用，無法上鎖、解鎖，需進行電子鎖更換。</t>
  </si>
  <si>
    <t>收到承租人反應，大門電子鎖故障無法上鎖，請我方派員處理。經廠商檢查，確認是門鎖鎖舌老化內縮，感應無作用，無法上鎖、解鎖，需進行電子鎖更換。</t>
    <phoneticPr fontId="4" type="noConversion"/>
  </si>
  <si>
    <t>新北市新店區中央路153號18樓之18</t>
  </si>
  <si>
    <t>新北市新店區中央路153號17樓之7</t>
    <phoneticPr fontId="4" type="noConversion"/>
  </si>
  <si>
    <t>組</t>
    <phoneticPr fontId="4" type="noConversion"/>
  </si>
  <si>
    <t>式</t>
    <phoneticPr fontId="4" type="noConversion"/>
  </si>
  <si>
    <t>03-04-04</t>
    <phoneticPr fontId="4" type="noConversion"/>
  </si>
  <si>
    <t>式</t>
    <phoneticPr fontId="4" type="noConversion"/>
  </si>
  <si>
    <t>112年11月份月結</t>
    <phoneticPr fontId="4" type="noConversion"/>
  </si>
  <si>
    <t>新北市新店區中央路153號18樓之21</t>
    <phoneticPr fontId="4" type="noConversion"/>
  </si>
  <si>
    <t>收到承租人反應，馬桶蓋破損碎化，請我方前往檢修。經廠商現場檢查，確認馬桶蓋邊緣及卡榫銜接處均已氧化鈣化碎裂剝落，表面已不平整恐有受傷風險，建議立即更新。</t>
    <phoneticPr fontId="4" type="noConversion"/>
  </si>
  <si>
    <t>只</t>
  </si>
  <si>
    <t>只</t>
    <phoneticPr fontId="4" type="noConversion"/>
  </si>
  <si>
    <t>新店機廠站
(捷17、18、19)</t>
    <phoneticPr fontId="4" type="noConversion"/>
  </si>
  <si>
    <t>新北市新店區中央路161號13樓之7</t>
    <phoneticPr fontId="4" type="noConversion"/>
  </si>
  <si>
    <t>收到承租人反應，家中的廁所有兩只馬桶蓋均破損不平整，請我方前往檢修。經廠商現場檢查，確認兩只馬桶蓋坐墊邊緣均已氧化鈣化碎裂剝落，表面已不平整有突起，恐有受傷風險，建議立即更新。</t>
    <phoneticPr fontId="4" type="noConversion"/>
  </si>
  <si>
    <t>新北市新店區中央路153號28樓之25</t>
    <phoneticPr fontId="4" type="noConversion"/>
  </si>
  <si>
    <t>承租人來電反應，表示馬桶有漏水現象、同時室內電燈開關故障，請我方派員查看。經現場勘查，發現馬桶管線的三角凡而，因生鏽老化導致漏水，室內電燈單切開關有故障現象導致無法開啟，需更換三角凡而及電燈開關組。</t>
    <phoneticPr fontId="4" type="noConversion"/>
  </si>
  <si>
    <t>組</t>
    <phoneticPr fontId="4" type="noConversion"/>
  </si>
  <si>
    <t>新北市新店區中央路153號29樓之22</t>
    <phoneticPr fontId="4" type="noConversion"/>
  </si>
  <si>
    <t>收到承租人反應，室內牆面有發霉狀況，請我方派員查看。經廠商確認，本社區鄰近新店溪，水氣較重，該戶室內牆面因潮濕極易產生發霉，建議以水泥漆將發霉處粉刷修補復原，並用防水漆塗佈強化牆面防潮效力。</t>
    <phoneticPr fontId="4" type="noConversion"/>
  </si>
  <si>
    <t>01-01-01</t>
    <phoneticPr fontId="4" type="noConversion"/>
  </si>
  <si>
    <t>㎡</t>
    <phoneticPr fontId="4" type="noConversion"/>
  </si>
  <si>
    <t>01-01-03</t>
    <phoneticPr fontId="4" type="noConversion"/>
  </si>
  <si>
    <t>新北市新店區中央路161號17樓之7</t>
    <phoneticPr fontId="4" type="noConversion"/>
  </si>
  <si>
    <t>收到承租人反應，表示浴室洗臉盆排水管漏水，陽台水龍頭漏水，請我方派員查看。經師傅現場勘查，發現面盆下方排水管因鏽蝕而漏水，陽台水龍頭因老化而漏水，持續漏水地滑恐有安全疑慮，建議立即更換，以策安全。</t>
    <phoneticPr fontId="4" type="noConversion"/>
  </si>
  <si>
    <t>新北市新店區中央路153號20樓之7</t>
    <phoneticPr fontId="4" type="noConversion"/>
  </si>
  <si>
    <t>收到承租人反應，馬桶蓋有破損狀況，請我方前往檢修。經廠商現場檢查，確認馬桶蓋坐墊及上蓋均有區塊氧化鈣化碎裂剝落，表面已不平整有突起，恐有受傷風險，建議立即更新。</t>
    <phoneticPr fontId="4" type="noConversion"/>
  </si>
  <si>
    <t>新北市新店區中央路153號26樓之11</t>
    <phoneticPr fontId="4" type="noConversion"/>
  </si>
  <si>
    <t>現場主任巡視空屋時，確認有以下待修繕事項：室內牆面髒污裂痕掉漆，電子鎖鎖舌老化故障導致無法正常開關門、陽台水龍頭因內部零件老舊導致漏水。廠商建議，以牆面補土復原裂痕、並將汙損、掉漆龜裂之牆面漆上水泥漆(至少施作兩次方能完整上色)、更新陽台水龍頭、更新電子鎖。</t>
    <phoneticPr fontId="4" type="noConversion"/>
  </si>
  <si>
    <t>01-01-01</t>
    <phoneticPr fontId="4" type="noConversion"/>
  </si>
  <si>
    <t>01-01-01</t>
    <phoneticPr fontId="4" type="noConversion"/>
  </si>
  <si>
    <t>01-01-02</t>
    <phoneticPr fontId="4" type="noConversion"/>
  </si>
  <si>
    <t>03-04-02</t>
    <phoneticPr fontId="4" type="noConversion"/>
  </si>
  <si>
    <t>03-04-04</t>
    <phoneticPr fontId="4" type="noConversion"/>
  </si>
  <si>
    <t>㎡</t>
    <phoneticPr fontId="4" type="noConversion"/>
  </si>
  <si>
    <t>個</t>
    <phoneticPr fontId="4" type="noConversion"/>
  </si>
  <si>
    <t>式</t>
    <phoneticPr fontId="4" type="noConversion"/>
  </si>
  <si>
    <t>支</t>
    <phoneticPr fontId="4" type="noConversion"/>
  </si>
  <si>
    <t>公館站
(交11)</t>
    <phoneticPr fontId="4" type="noConversion"/>
  </si>
  <si>
    <t>臺北市羅斯福路4段68號9樓之1</t>
    <phoneticPr fontId="4" type="noConversion"/>
  </si>
  <si>
    <t>中美牙醫康小姐來電報修，廁所面盆龍頭無法出水，以及浴櫃下方有漏水情形，請我方派員勘查。經廠商現場勘查，面盆龍頭內軸心損壞，故無法出水及控制水量；面盆下方三角凡爾老舊，有滲水情形；面盆排水管有破裂情形；面盆落水頭橡膠條老舊，已無法止水，建議更新面盆龍頭、三角凡爾、面盆排水管、面盆落水頭。</t>
    <phoneticPr fontId="4" type="noConversion"/>
  </si>
  <si>
    <t>04-08-09</t>
    <phoneticPr fontId="4" type="noConversion"/>
  </si>
  <si>
    <t>04-08-02</t>
    <phoneticPr fontId="4" type="noConversion"/>
  </si>
  <si>
    <t>04-08-03</t>
    <phoneticPr fontId="4" type="noConversion"/>
  </si>
  <si>
    <t>04-08-11</t>
    <phoneticPr fontId="4" type="noConversion"/>
  </si>
  <si>
    <t>組</t>
    <phoneticPr fontId="4" type="noConversion"/>
  </si>
  <si>
    <t>組</t>
    <phoneticPr fontId="4" type="noConversion"/>
  </si>
  <si>
    <t>只</t>
    <phoneticPr fontId="4" type="noConversion"/>
  </si>
  <si>
    <t>新北市新店區中央路153號9樓之25</t>
    <phoneticPr fontId="4" type="noConversion"/>
  </si>
  <si>
    <t>收到承租人反應，大門電子鎖故障無法感應上鎖，請我方派員處理。經廠商檢查，確認門鎖機板老化故障感應無作用，無法上鎖、解鎖，需進行電子鎖更換。</t>
    <phoneticPr fontId="4" type="noConversion"/>
  </si>
  <si>
    <t>03-04-02</t>
    <phoneticPr fontId="4" type="noConversion"/>
  </si>
  <si>
    <t>個</t>
    <phoneticPr fontId="4" type="noConversion"/>
  </si>
  <si>
    <t>03-04-04</t>
    <phoneticPr fontId="4" type="noConversion"/>
  </si>
  <si>
    <t>式</t>
    <phoneticPr fontId="4" type="noConversion"/>
  </si>
  <si>
    <t>04-10-02</t>
    <phoneticPr fontId="4" type="noConversion"/>
  </si>
  <si>
    <t>05-01-01</t>
    <phoneticPr fontId="4" type="noConversion"/>
  </si>
  <si>
    <t>㎡</t>
    <phoneticPr fontId="4" type="noConversion"/>
  </si>
  <si>
    <t>新店機廠站
(捷17、18、19)</t>
    <phoneticPr fontId="4" type="noConversion"/>
  </si>
  <si>
    <t>新店機廠站
(捷17、18、19)</t>
    <phoneticPr fontId="4" type="noConversion"/>
  </si>
  <si>
    <t>新北市新店區中央路153號25樓之20</t>
    <phoneticPr fontId="4" type="noConversion"/>
  </si>
  <si>
    <t>現場主任巡視空屋時，確認有以下待修繕事項：電子鎖老化故障導致無法正常開關門，經廠商檢查，確認是電子鎖馬達故障，鎖舌卡頓，故無法順利上鎖，建議更新。</t>
    <phoneticPr fontId="4" type="noConversion"/>
  </si>
  <si>
    <t>新北市新店區中央路153號25樓之19</t>
    <phoneticPr fontId="4" type="noConversion"/>
  </si>
  <si>
    <t>現場主任巡視空屋時，確認有以下待修繕事項：電子鎖老化，零件故障導致無法正常開關門，經檢查確認，因機板老化導致功能異常，建議更新。</t>
    <phoneticPr fontId="4" type="noConversion"/>
  </si>
  <si>
    <t>112年12月份月結</t>
    <phoneticPr fontId="4" type="noConversion"/>
  </si>
  <si>
    <t>新北市新店區中央路153號12樓之18</t>
    <phoneticPr fontId="4" type="noConversion"/>
  </si>
  <si>
    <t>收到承租戶反應，浴室馬桶常有流水聲，噪音導致夜間難以入眠，請我方派員查看。廠商現場勘查，發現馬桶進水器老舊於沖水時產生異音，建議更新馬桶進水器。</t>
    <phoneticPr fontId="4" type="noConversion"/>
  </si>
  <si>
    <t>04-07-02</t>
    <phoneticPr fontId="4" type="noConversion"/>
  </si>
  <si>
    <t>新北市新店區中央路153號11樓</t>
  </si>
  <si>
    <t>收到承租人反應，馬桶蓄水功能出現異常，無法停止會持續朝水箱補水，請我方派員查看。經廠商確認，由於馬桶水箱零件老化故障，導致停止補水功能異常，建議更新。</t>
  </si>
  <si>
    <t>新北市新店區中央路153號9樓之9</t>
  </si>
  <si>
    <t>收到承租人來電報修，浴室面盆排水管斷裂、按壓式落水頭卡住無法排水，請我方派員勘查。經廠商現場勘查，確認面盆排水管因老舊而導致斷裂，按壓式落水頭也因老舊卡住，導致無法蓄水及排水，建議立即更新。由於嵌入式洗手台之按壓落水頭屬合約外項目，故另外提報。</t>
  </si>
  <si>
    <t>新北市新店區中央路153號14樓之3</t>
    <phoneticPr fontId="4" type="noConversion"/>
  </si>
  <si>
    <t>承租人來電報修，天花板潮濕有霉斑，請我方派員勘查。經廠商確認，本社區鄰近新店溪，水氣較重，該戶室內天花板及牆面因潮濕極易產生發霉，建議以水泥漆將發霉處粉刷修補復原，並用防水漆塗佈強化牆面防潮效力。</t>
  </si>
  <si>
    <t>新北市新店區中央路153號17樓之25</t>
    <phoneticPr fontId="4" type="noConversion"/>
  </si>
  <si>
    <t>承租人來電報修，浴室插座無電源，請我方派員勘查。經廠商現場勘查，發現插座內電線氧化鬆脫，需重新接線，為避免造成住戶生活之不便，建議立即處理。</t>
    <phoneticPr fontId="4" type="noConversion"/>
  </si>
  <si>
    <t>ｍ</t>
    <phoneticPr fontId="4" type="noConversion"/>
  </si>
  <si>
    <t>04-05-04</t>
    <phoneticPr fontId="4" type="noConversion"/>
  </si>
  <si>
    <t>新北市新店區中央路161號20樓之6</t>
    <phoneticPr fontId="4" type="noConversion"/>
  </si>
  <si>
    <t>現場主任巡視空屋時，確認有以下待修繕事項：室內牆面髒污裂痕關、暖風機遙控器功能異常、陽台水龍頭使用中會漏水、浴櫃門無法正常開關、面盆龍頭使用時會漏水、面盆排水管使用時會漏水。經廠商確認，室內油漆裂縫須以補土油漆復原(油漆需塗刷兩次方能完整上色)；馬桶蓋老化氧化建議更新；陽台水龍頭零件老化建議更新；暖風機遙控器老化建議更新；絞鍊生鏽變形建議更新；面盆龍頭內部零件老化建議更新；面盆排水管破損建議更新。</t>
    <phoneticPr fontId="4" type="noConversion"/>
  </si>
  <si>
    <t>新北市新店區中央路161號14樓之2</t>
    <phoneticPr fontId="4" type="noConversion"/>
  </si>
  <si>
    <t>現場主任巡視空屋時，確認有以下待修繕事項：室內牆面髒污裂痕關、電子鎖功能異常、馬桶蓋髒汙、陽台水龍頭使用中會漏水、浴櫃門開關異常。經廠商確認，室內油漆裂縫須以補土油漆復原(油漆需塗刷兩次方能完整上色)；電子鎖機板老化建議更新；陽台水龍頭零件老化建議更新；馬桶蓋氧化建議更新；絞鍊氧化腐蝕變形建議更新。</t>
    <phoneticPr fontId="4" type="noConversion"/>
  </si>
  <si>
    <t>新北市新店區中央路161號13樓之2</t>
    <phoneticPr fontId="4" type="noConversion"/>
  </si>
  <si>
    <t>現場主任巡視空屋時，確認有以下待修繕事項：室內牆面髒污裂痕關、浴櫃門關關不順、陽台水龍頭使用中會漏水，經廠商確認，室內油漆裂縫須以補土油漆復原(油漆需塗刷兩次方能完整上色)；浴櫃絞鍊老化建議更新；陽台水龍頭零件老化建議更新。</t>
    <phoneticPr fontId="4" type="noConversion"/>
  </si>
  <si>
    <t>新北市新店區中央路161號12樓之1</t>
    <phoneticPr fontId="4" type="noConversion"/>
  </si>
  <si>
    <t>現場主任巡視空屋時，確認有以下待修繕事項：室內牆面髒污裂痕關、電子鎖功能異常、陽台水龍頭使用中會漏水、臥室紗網破損、浴櫃門開關不順，經廠商確認，室內油漆裂縫須以補土油漆復原(油漆需塗刷兩次方能完整上色)；電子鎖鎖舌老化損壞建議更新；陽台水龍頭零件老化建議更新；紗網建議更新；浴櫃絞鍊建議更新。</t>
    <phoneticPr fontId="4" type="noConversion"/>
  </si>
  <si>
    <t>新北市新店區中央路161號10樓之1</t>
    <phoneticPr fontId="4" type="noConversion"/>
  </si>
  <si>
    <t>現場主任巡視空屋時，確認有以下待修繕事項：室內牆面髒污裂痕關、電子鎖功能異常、陽台水龍頭使用中會漏水、臥室紗網破損、浴鏡LED燈一側不亮。經廠商確認，室內油漆裂縫須以補土油漆復原(油漆需塗刷兩次方能完整上色)；電子鎖鎖舌老化故障建議更新；陽台水龍頭零件老化建議更新、紗網建議更新、浴鏡LED燈建議更新。</t>
    <phoneticPr fontId="4" type="noConversion"/>
  </si>
  <si>
    <t>04-11-07</t>
    <phoneticPr fontId="4" type="noConversion"/>
  </si>
  <si>
    <t>現場主任巡視空屋時，確認有以下待修繕事項：室內牆面髒污裂痕關、電子鎖功能異常、陽台水龍頭使用中會漏水、臥室紗網破損，經廠商確認，室內油漆裂縫須以補土油漆復原(油漆需塗刷兩次方能完整上色)；電子鎖機板故障建議更新；陽台水龍頭零件老化建議更新、紗網破損建議更新。</t>
    <phoneticPr fontId="4" type="noConversion"/>
  </si>
  <si>
    <t>新北市新店區中央路161號5樓之1</t>
    <phoneticPr fontId="4" type="noConversion"/>
  </si>
  <si>
    <t>新北市新店區中央路161號4樓之7</t>
    <phoneticPr fontId="4" type="noConversion"/>
  </si>
  <si>
    <t>現場主任巡視空屋時，確認有以下待修繕事項：室內牆面髒污裂痕關、電子鎖功能異常、馬桶蓋髒汙、陽台水龍頭使用中會漏水、暖風機遙控器功能異常、淋浴龍頭使用中會漏水、浴室玻璃門防水膠條老化破損，經廠商確認，室內油漆裂縫須以補土油漆復原(油漆需塗刷兩次方能完整上色)；電子鎖老化機板故障建議更新；馬桶蓋老化氧化建議更新；陽台水龍頭零件老化建議更新；淋浴龍頭內部零件老化損壞建議更新；防水膠條老化脆化建議更新。</t>
    <phoneticPr fontId="4" type="noConversion"/>
  </si>
  <si>
    <t>新北市新店區中央路161號4樓之5</t>
    <phoneticPr fontId="4" type="noConversion"/>
  </si>
  <si>
    <t>現場主任巡視空屋時，確認有以下待修繕事項：室內牆面髒污裂痕關、電子鎖功能異常、暖風機遙控器功能異常、陽台水龍頭使用中會漏水，經廠商確認，室內油漆裂縫須以補土油漆復原(油漆需塗刷兩次方能完整上色)；電子鎖老舊機板故障建議更新；陽台水龍頭零件老化建議更新；暖風機遙控器老舊建議更新。</t>
    <phoneticPr fontId="4" type="noConversion"/>
  </si>
  <si>
    <t>新北市新店區中央路161號4樓之1</t>
    <phoneticPr fontId="4" type="noConversion"/>
  </si>
  <si>
    <t>現場主任巡視空屋時，確認有以下待修繕事項：室內牆面髒污裂痕關、電子鎖功能異常、陽台水龍頭使用中會漏水、臥室紗網破損，經廠商確認，室內油漆裂縫須以補土油漆復原(油漆需塗刷兩次方能完整上色)；電子鎖因機板故障功能異常建議更新；陽台水龍頭零件老化建議更新；紗網破損建議更新。</t>
    <phoneticPr fontId="4" type="noConversion"/>
  </si>
  <si>
    <t xml:space="preserve">新北市新店區中央路161號3樓之1 </t>
    <phoneticPr fontId="4" type="noConversion"/>
  </si>
  <si>
    <t>現場主任巡視空屋時，確認有以下待修繕事項：室內牆面髒污裂痕關、暖風機遙控器故障、陽台水龍頭使用中會漏水、臥室紗網破損、浴櫃門無法正常開關，經廠商確認，室內油漆裂縫須以補土油漆復原(油漆需塗刷兩次方能完整上色)；暖風機遙控器因潮濕故障建議更新；陽台水龍頭零件老化建議更新；紗網因老舊破損建議更新；浴櫃絞鍊因老化功能異常建議更新。</t>
    <phoneticPr fontId="4" type="noConversion"/>
  </si>
  <si>
    <t>新北市新店區中央路153號26樓之3</t>
    <phoneticPr fontId="4" type="noConversion"/>
  </si>
  <si>
    <t>現場主任巡視空屋時，確認有以下待修繕事項：室內牆面髒污裂痕關、馬桶蓋髒汙、陽台水龍頭使用中會漏水，經廠商確認，室內油漆裂縫須以補土油漆復原(油漆需塗刷兩次方能完整上色)；馬桶蓋老化氧化建議更新；陽台水龍頭零件老化建議更新。</t>
    <phoneticPr fontId="4" type="noConversion"/>
  </si>
  <si>
    <t>新北市新店區中央路161號21樓之3</t>
    <phoneticPr fontId="4" type="noConversion"/>
  </si>
  <si>
    <t>現場主任巡視空屋時，確認有以下待修繕事項：室內牆面髒污裂痕關、電子鎖功能異常、陽台水龍頭使用中會漏水、暖風機遙控器功能異常，經廠商確認，室內油漆裂縫須以補土油漆復原(油漆需塗刷兩次方能完整上色)；電子鎖機板老化建議更新；陽台水龍頭零件老化建議更新；暖風機遙控器零件老化建議更新。</t>
    <phoneticPr fontId="4" type="noConversion"/>
  </si>
  <si>
    <t>新北市新店區中央路161號5樓之2</t>
    <phoneticPr fontId="4" type="noConversion"/>
  </si>
  <si>
    <t>現場主任巡視空屋時，確認有以下待修繕事項：室內牆面髒污裂痕關、陽台水龍頭使用中會漏水、面盆龍頭出水量異常。經廠商確認，室內油漆裂縫須以補土油漆復原(油漆需塗刷兩次方能完整上色)；面盆龍頭內部零件老化建議新；陽台水龍頭零件老化建議更新。</t>
    <phoneticPr fontId="4" type="noConversion"/>
  </si>
  <si>
    <t>新北市新店區中央路153號11樓之11</t>
    <phoneticPr fontId="4" type="noConversion"/>
  </si>
  <si>
    <t>現場主任巡視空屋時，確認有以下待修繕事項：室內牆面髒污裂痕、電子鎖無法正常開關、馬桶蓋髒汙、馬桶沖水功能不正常、浴室玻璃門止水膠條老化髒汙破損，經廠商確認，室內油漆裂縫須以補土油漆復原(油漆需塗刷兩次方能完整上色)；電子鎖機板老化，建議更新；馬桶蓋老化氧化建議更新；馬桶水箱零件故障建議更新；止水膠條老化破裂建議更新。</t>
    <phoneticPr fontId="4" type="noConversion"/>
  </si>
  <si>
    <t>案號1加總金額</t>
    <phoneticPr fontId="4" type="noConversion"/>
  </si>
  <si>
    <t>113年01月份月結</t>
    <phoneticPr fontId="4" type="noConversion"/>
  </si>
  <si>
    <t>新北市新店區中央路153號10樓之11</t>
    <phoneticPr fontId="4" type="noConversion"/>
  </si>
  <si>
    <t>收到住戶反應，浴室水龍頭使用時，下方浴櫃空間會有漏水現象，請我方派員查看。經廠商檢查，確認是龍頭高壓軟管老化破損，導致使用時會滲漏到浴櫃下方，由於水管與龍頭是搭配使用，建議更新整組龍頭。</t>
    <phoneticPr fontId="4" type="noConversion"/>
  </si>
  <si>
    <t>04-08-04</t>
    <phoneticPr fontId="4" type="noConversion"/>
  </si>
  <si>
    <t>組</t>
    <phoneticPr fontId="4" type="noConversion"/>
  </si>
  <si>
    <t>新北市新店區中央路161號5樓</t>
  </si>
  <si>
    <t>收到承租人反應，面盆龍頭使用時，底下浴櫃有漏水現象，請我方派員確認。經廠商檢查，確認是龍頭高壓水管因老化破損，導致使用時會滲水到浴櫃中，由於水管和龍頭是搭配使用，建議更新整組龍頭。</t>
  </si>
  <si>
    <t>新北市新店區中央路161號21樓之1</t>
    <phoneticPr fontId="4" type="noConversion"/>
  </si>
  <si>
    <t>收到住戶反應，室內窗邊有漏水狀況，請我方派員查看。經廠商檢查，確認窗框上方天花板空間有漏水狀況，需要開檢修孔進一步查明漏水原因。</t>
    <phoneticPr fontId="4" type="noConversion"/>
  </si>
  <si>
    <t>式</t>
  </si>
  <si>
    <t>新北市新店區中央路153號11樓</t>
    <phoneticPr fontId="4" type="noConversion"/>
  </si>
  <si>
    <t>收到住戶反應，室內天花板油漆有脫落現象。經廠商確認，油漆脫落係因上方漏水造成，已將漏水狀況排除，建議以油漆修復壁面(油漆需上色兩道方能完整覆蓋)。</t>
    <phoneticPr fontId="4" type="noConversion"/>
  </si>
  <si>
    <t>01-01-01</t>
    <phoneticPr fontId="4" type="noConversion"/>
  </si>
  <si>
    <t>㎡</t>
    <phoneticPr fontId="4" type="noConversion"/>
  </si>
  <si>
    <t>新北市新店區中央路161號3樓之3</t>
  </si>
  <si>
    <t>收到承租人反應，室內天花板油漆有剝落之情況，請我方派員查看。經廠商確認，油漆剝落原因係因上方樓層有漏水狀況，已將漏水原因排除，建議以油漆修復牆面。</t>
  </si>
  <si>
    <t>新北市新店區中央路161號7樓之3</t>
    <phoneticPr fontId="4" type="noConversion"/>
  </si>
  <si>
    <t>收到承租人反應，電子鎖使用上功能異常，無法正常開關門，請我方派員查看。經廠商確認，電子鎖之鎖匣老化鏽蝕故障，導致無法正常起動開鎖或解鎖，建議更新。</t>
    <phoneticPr fontId="4" type="noConversion"/>
  </si>
  <si>
    <t>03-04-02</t>
    <phoneticPr fontId="4" type="noConversion"/>
  </si>
  <si>
    <t>03-04-04</t>
    <phoneticPr fontId="4" type="noConversion"/>
  </si>
  <si>
    <t>個</t>
    <phoneticPr fontId="4" type="noConversion"/>
  </si>
  <si>
    <t>新北市新店區中央路161號11樓之7</t>
    <phoneticPr fontId="4" type="noConversion"/>
  </si>
  <si>
    <t>收到承租人反應，電子鎖使用上功能異常，無法正常開關門，請我方派員查看。經廠商確認，電子鎖之鎖匣老化鏽蝕故障，導致無法正常起動開鎖或解鎖，建議更新。</t>
    <phoneticPr fontId="4" type="noConversion"/>
  </si>
  <si>
    <t>新北市新店區中央路161號11樓之2</t>
    <phoneticPr fontId="4" type="noConversion"/>
  </si>
  <si>
    <t>收到承租人反應，電子鎖使用上功能異常，無法正常開關門，請我方派員查看。經廠商確認，電子鎖之機板零件老化故障、另安裝固定之支架亦鏽蝕脆弱，導致無法正常起動開鎖或解鎖，建議更新。</t>
    <phoneticPr fontId="4" type="noConversion"/>
  </si>
  <si>
    <t>新北市新店區中央路161號10樓之5</t>
    <phoneticPr fontId="4" type="noConversion"/>
  </si>
  <si>
    <t>收到承租人反應，電子鎖使用功能異常，無法正常開關門，請我方派員查看，經廠商檢查，確認因該房靠近河邊，水氣較充足導致鎖匣、機板零件受潮故障，建議更新。</t>
    <phoneticPr fontId="4" type="noConversion"/>
  </si>
  <si>
    <t>新北市新店區中央路153號18樓之7</t>
    <phoneticPr fontId="4" type="noConversion"/>
  </si>
  <si>
    <t>收到承租人反應，面盆底下有漏水狀況，請我方派員查看，經廠商確認，面盆排水管因老舊而產生裂隙，導致使用時會漏水，建議更新。</t>
    <phoneticPr fontId="4" type="noConversion"/>
  </si>
  <si>
    <t>04-08-02</t>
    <phoneticPr fontId="4" type="noConversion"/>
  </si>
  <si>
    <t>組</t>
    <phoneticPr fontId="4" type="noConversion"/>
  </si>
  <si>
    <t>新北市新店區中央路161號14樓</t>
    <phoneticPr fontId="4" type="noConversion"/>
  </si>
  <si>
    <t>收到承租人反應，浴室鏡子LED燈不亮，請我方派員查看。經廠商確認，浴鏡LED燈管之接點處因老舊故障，建議更新</t>
    <phoneticPr fontId="4" type="noConversion"/>
  </si>
  <si>
    <t>支</t>
    <phoneticPr fontId="4" type="noConversion"/>
  </si>
  <si>
    <t>新北市新店區中央路161號21樓</t>
    <phoneticPr fontId="4" type="noConversion"/>
  </si>
  <si>
    <t>收到承租人反應，面盆龍頭使用中會漏水、房門門止損壞，請我方派員查看，經廠商檢查，龍頭因老舊，內部陶瓷控水零件損壞造成漏水，建議更新；門止因使用已久，結構脆化導致斷裂，建議更新。</t>
    <phoneticPr fontId="4" type="noConversion"/>
  </si>
  <si>
    <t>組</t>
    <phoneticPr fontId="4" type="noConversion"/>
  </si>
  <si>
    <t>只</t>
    <phoneticPr fontId="4" type="noConversion"/>
  </si>
  <si>
    <t>案號2施作項目數量總計</t>
    <phoneticPr fontId="4" type="noConversion"/>
  </si>
  <si>
    <t>04-08-04</t>
    <phoneticPr fontId="4" type="noConversion"/>
  </si>
  <si>
    <t>06-09-01</t>
    <phoneticPr fontId="4" type="noConversion"/>
  </si>
  <si>
    <t>06-09-01</t>
    <phoneticPr fontId="4" type="noConversion"/>
  </si>
  <si>
    <t>01-01-01</t>
    <phoneticPr fontId="4" type="noConversion"/>
  </si>
  <si>
    <t>01-01-01</t>
    <phoneticPr fontId="4" type="noConversion"/>
  </si>
  <si>
    <t>案號7施作項目數量總計</t>
    <phoneticPr fontId="4" type="noConversion"/>
  </si>
  <si>
    <t>03-04-02</t>
    <phoneticPr fontId="4" type="noConversion"/>
  </si>
  <si>
    <t>03-04-02</t>
    <phoneticPr fontId="4" type="noConversion"/>
  </si>
  <si>
    <t>03-04-04</t>
    <phoneticPr fontId="4" type="noConversion"/>
  </si>
  <si>
    <t>案號7施作項目數量總計</t>
    <phoneticPr fontId="4" type="noConversion"/>
  </si>
  <si>
    <t>04-08-03</t>
    <phoneticPr fontId="4" type="noConversion"/>
  </si>
  <si>
    <t>04-08-03</t>
    <phoneticPr fontId="4" type="noConversion"/>
  </si>
  <si>
    <t>04-11-07</t>
    <phoneticPr fontId="4" type="noConversion"/>
  </si>
  <si>
    <t>04-11-07</t>
    <phoneticPr fontId="4" type="noConversion"/>
  </si>
  <si>
    <t>06-02-01</t>
    <phoneticPr fontId="4" type="noConversion"/>
  </si>
  <si>
    <t>06-02-01</t>
    <phoneticPr fontId="4" type="noConversion"/>
  </si>
  <si>
    <t>案號2加總金額</t>
    <phoneticPr fontId="4" type="noConversion"/>
  </si>
  <si>
    <t>案號4加總金額</t>
    <phoneticPr fontId="4" type="noConversion"/>
  </si>
  <si>
    <t>案號7加總金額</t>
    <phoneticPr fontId="4" type="noConversion"/>
  </si>
  <si>
    <t>113年02月份月結</t>
    <phoneticPr fontId="4" type="noConversion"/>
  </si>
  <si>
    <t>新北市新店區中央路153號26樓之23</t>
    <phoneticPr fontId="4" type="noConversion"/>
  </si>
  <si>
    <t>收到住戶反應，陽台水龍頭有漏水狀況，請我方派員查看。經廠商確認，陽台龍頭因老化導致漏水，建議更新。</t>
    <phoneticPr fontId="4" type="noConversion"/>
  </si>
  <si>
    <t>支</t>
    <phoneticPr fontId="4" type="noConversion"/>
  </si>
  <si>
    <t>新北市新店區中央路153號9樓之12</t>
    <phoneticPr fontId="4" type="noConversion"/>
  </si>
  <si>
    <t>收到住戶通知，戶內陽台插座無法使用，請我方派員查看。經廠商檢查，確認是開關箱內一只無熔絲開關老化損壞導致未過電，建議更新。</t>
    <phoneticPr fontId="4" type="noConversion"/>
  </si>
  <si>
    <t>05-02-02</t>
    <phoneticPr fontId="4" type="noConversion"/>
  </si>
  <si>
    <t>只</t>
    <phoneticPr fontId="4" type="noConversion"/>
  </si>
  <si>
    <t>ｍ</t>
    <phoneticPr fontId="4" type="noConversion"/>
  </si>
  <si>
    <t>新北市新店區新店路258之1號8樓</t>
  </si>
  <si>
    <t>承租人來電反應，浴室抽風機無法使用，請我方派員勘查。經廠商現場勘查，確認抽風機因馬達老化故障，使風扇無法運轉，建議應更換抽風機。</t>
    <phoneticPr fontId="4" type="noConversion"/>
  </si>
  <si>
    <t>04-08-13</t>
    <phoneticPr fontId="4" type="noConversion"/>
  </si>
  <si>
    <t>組</t>
    <phoneticPr fontId="4" type="noConversion"/>
  </si>
  <si>
    <t>新北市新店區中央路153號29樓之15</t>
    <phoneticPr fontId="4" type="noConversion"/>
  </si>
  <si>
    <t>收到承租人反應，室內有以下設備功能異常，請我方派員查看：電子鎖無法正常上鎖、陽台水龍頭拉環損壞/使用中會漏水、淋浴間玻璃門膠條破損、淋浴龍頭使用中會漏水。經廠商確認，電子鎖因機板老化故障導致功能異常，建議更新；淋浴龍頭止水零件和切換開關故障，建議更新；陽台龍頭內部陶瓷零件老化故障，建議更新；浴室防水膠條老化脆裂導致止水功能失效，建議更新。</t>
    <phoneticPr fontId="4" type="noConversion"/>
  </si>
  <si>
    <t>04-05-04</t>
  </si>
  <si>
    <t>個</t>
    <phoneticPr fontId="4" type="noConversion"/>
  </si>
  <si>
    <t>ｍ</t>
    <phoneticPr fontId="4" type="noConversion"/>
  </si>
  <si>
    <t>04-08-09</t>
    <phoneticPr fontId="4" type="noConversion"/>
  </si>
  <si>
    <t>113年03月份月結</t>
    <phoneticPr fontId="4" type="noConversion"/>
  </si>
  <si>
    <t>新北市新店區中央路153號11樓</t>
    <phoneticPr fontId="4" type="noConversion"/>
  </si>
  <si>
    <t>收到承租人反應，浴室面盆下方有漏水狀況，請我方派員查看，廠商到現場勘查，確認排水管因老化脆化產生漏水，建議更新。</t>
    <phoneticPr fontId="4" type="noConversion"/>
  </si>
  <si>
    <t>04-08-02</t>
    <phoneticPr fontId="4" type="noConversion"/>
  </si>
  <si>
    <t>組</t>
    <phoneticPr fontId="4" type="noConversion"/>
  </si>
  <si>
    <t xml:space="preserve">2024030600007
</t>
    <phoneticPr fontId="4" type="noConversion"/>
  </si>
  <si>
    <t>新北市新店區中央路153號27樓之23</t>
  </si>
  <si>
    <t>現場主任巡視空屋時，確認有以下待修繕事項：室內牆面輕微髒汙、馬桶蓋氧化髒汙、陽台龍頭使用中會漏水，經廠商確認，牆面髒汙建議以補土油漆修復；馬桶蓋、陽台水龍頭老舊建議更新。</t>
  </si>
  <si>
    <t>01-01-01</t>
    <phoneticPr fontId="4" type="noConversion"/>
  </si>
  <si>
    <t>01-01-02</t>
    <phoneticPr fontId="4" type="noConversion"/>
  </si>
  <si>
    <t>04-07-03</t>
    <phoneticPr fontId="4" type="noConversion"/>
  </si>
  <si>
    <t>04-08-09</t>
    <phoneticPr fontId="4" type="noConversion"/>
  </si>
  <si>
    <t>㎡</t>
    <phoneticPr fontId="4" type="noConversion"/>
  </si>
  <si>
    <t>㎡</t>
    <phoneticPr fontId="4" type="noConversion"/>
  </si>
  <si>
    <t>只</t>
    <phoneticPr fontId="4" type="noConversion"/>
  </si>
  <si>
    <t>支</t>
    <phoneticPr fontId="4" type="noConversion"/>
  </si>
  <si>
    <t>新北市新店區中央路161號10樓之6</t>
  </si>
  <si>
    <t>現場主任巡視空屋時，確認有以下待修繕事項：室內牆面髒污裂隙、面盆落水頭損壞、面盆水龍頭出水異常、室內髒汙、陽台水龍頭使用中會漏水、電子鎖故障無法正常開關、門禁卡三張感應不良。廠商建議：牆面以油漆補土復原(需兩道刷塗方能完整上色)；更換損壞之落水頭、檯面龍頭、電子鎖、門禁卡；清潔室內。</t>
  </si>
  <si>
    <t>03-04-01</t>
    <phoneticPr fontId="4" type="noConversion"/>
  </si>
  <si>
    <t>03-04-04</t>
    <phoneticPr fontId="4" type="noConversion"/>
  </si>
  <si>
    <t>04-08-04</t>
    <phoneticPr fontId="4" type="noConversion"/>
  </si>
  <si>
    <t>04-08-09</t>
    <phoneticPr fontId="4" type="noConversion"/>
  </si>
  <si>
    <t>04-10-02</t>
    <phoneticPr fontId="4" type="noConversion"/>
  </si>
  <si>
    <t>06-01-02</t>
    <phoneticPr fontId="4" type="noConversion"/>
  </si>
  <si>
    <t>式</t>
    <phoneticPr fontId="4" type="noConversion"/>
  </si>
  <si>
    <t>組</t>
    <phoneticPr fontId="4" type="noConversion"/>
  </si>
  <si>
    <t>支</t>
    <phoneticPr fontId="4" type="noConversion"/>
  </si>
  <si>
    <t>只</t>
    <phoneticPr fontId="4" type="noConversion"/>
  </si>
  <si>
    <t>戶</t>
    <phoneticPr fontId="4" type="noConversion"/>
  </si>
  <si>
    <t>新北市新店區中央路153號27樓之23</t>
    <phoneticPr fontId="4" type="noConversion"/>
  </si>
  <si>
    <t>現場主任巡視空屋時，確認面盆落水頭損壞，廠商建議，將損壞之落水頭更新。</t>
    <phoneticPr fontId="4" type="noConversion"/>
  </si>
  <si>
    <t>04-10-02</t>
    <phoneticPr fontId="4" type="noConversion"/>
  </si>
  <si>
    <t>113年04月份月結</t>
    <phoneticPr fontId="4" type="noConversion"/>
  </si>
  <si>
    <t>臺北市羅斯福路4段68號8樓之11</t>
    <phoneticPr fontId="4" type="noConversion"/>
  </si>
  <si>
    <t>現場主任巡視空屋時，確認有以下待修繕事項：室內牆面有裂隙、髒污。廠商建議：牆面以補土、油漆復原(需兩道刷塗方能完整上色)，建議應立即處理。</t>
    <phoneticPr fontId="4" type="noConversion"/>
  </si>
  <si>
    <t>01-01-01</t>
    <phoneticPr fontId="4" type="noConversion"/>
  </si>
  <si>
    <t>01-01-02</t>
    <phoneticPr fontId="4" type="noConversion"/>
  </si>
  <si>
    <t>㎡</t>
    <phoneticPr fontId="4" type="noConversion"/>
  </si>
  <si>
    <t>㎡</t>
    <phoneticPr fontId="4" type="noConversion"/>
  </si>
  <si>
    <t>06-09-01</t>
    <phoneticPr fontId="4" type="noConversion"/>
  </si>
  <si>
    <t>新北市新店區中央路153號20樓之13</t>
    <phoneticPr fontId="4" type="noConversion"/>
  </si>
  <si>
    <t>收到承租人反應，室內窗邊有漏水壁癌現象，請我方派員查看，經廠商確認，窗邊有嚴重壁癌，水源來自天花板上方，需設立檢修孔進一步查看漏水原因。</t>
    <phoneticPr fontId="4" type="noConversion"/>
  </si>
  <si>
    <t>新北市新店區中央路153號17樓之22</t>
    <phoneticPr fontId="4" type="noConversion"/>
  </si>
  <si>
    <t>收到承租人反映，電子鎖使用異常，請我方派員查看，經廠商確認，門鎖鎖舌彈簧老化脫離，連帶導致機板運作負荷過高，零件老化，無法上鎖，建議更新。</t>
    <phoneticPr fontId="4" type="noConversion"/>
  </si>
  <si>
    <t>03-04-02</t>
    <phoneticPr fontId="4" type="noConversion"/>
  </si>
  <si>
    <t>03-04-04</t>
    <phoneticPr fontId="4" type="noConversion"/>
  </si>
  <si>
    <t>式</t>
    <phoneticPr fontId="4" type="noConversion"/>
  </si>
  <si>
    <t>新北市新店區中央路153號26樓之16</t>
    <phoneticPr fontId="4" type="noConversion"/>
  </si>
  <si>
    <t>收到承租人反映，電子鎖使用異常，請我方派員查看，經廠商確認，門鎖鎖舌零件老化，運作時會卡住無法完整伸出鎖舌導致大門無法正常開關，建議更新</t>
    <phoneticPr fontId="4" type="noConversion"/>
  </si>
  <si>
    <t>新北市新店區中央路153號27樓之6</t>
    <phoneticPr fontId="4" type="noConversion"/>
  </si>
  <si>
    <t>收到承租人反映，電子鎖使用異常，請我方派員查看，經廠商確認，電子鎖機板老舊腐蝕，無法正常推動馬達解鎖，建議更新</t>
    <phoneticPr fontId="4" type="noConversion"/>
  </si>
  <si>
    <t>新北市新店區中央路153號28樓之10</t>
    <phoneticPr fontId="4" type="noConversion"/>
  </si>
  <si>
    <t>收到承租人反映，電子鎖使用有異常狀況，請我方派員查看，經廠商確認，鎖舌零件老化故障，導致無法正常推動解鎖，建議更新</t>
    <phoneticPr fontId="4" type="noConversion"/>
  </si>
  <si>
    <t>新北市新店區中央路161號11樓之5</t>
    <phoneticPr fontId="4" type="noConversion"/>
  </si>
  <si>
    <t>收到承租人反映，電子鎖使用異常，請我方派員查看，經廠商確認，電子鎖機板故障，無法推動馬達解鎖，建議更新</t>
    <phoneticPr fontId="4" type="noConversion"/>
  </si>
  <si>
    <t>新北市新店區中央路161號8樓之3</t>
  </si>
  <si>
    <t>現場主任巡視空屋時，確認有以下待修繕事項：室內油漆髒汙裂隙、電子鎖觸控螢幕異常，數字鍵"9"無顯示，亦無法按壓輸入，廠商建議以油漆補土復原牆面；電子鎖觸控面板失效，另拆開檢查後發現鎖匣以腐蝕損壞，亦已超過保固期(108.10.25-109.10.24)，建議更新</t>
    <phoneticPr fontId="4" type="noConversion"/>
  </si>
  <si>
    <t>03-02-03</t>
    <phoneticPr fontId="4" type="noConversion"/>
  </si>
  <si>
    <t>才</t>
    <phoneticPr fontId="4" type="noConversion"/>
  </si>
  <si>
    <t>新店區公所站
(捷22)</t>
    <phoneticPr fontId="4" type="noConversion"/>
  </si>
  <si>
    <t>新北市新店區北新路1段293號4樓之3</t>
    <phoneticPr fontId="4" type="noConversion"/>
  </si>
  <si>
    <t>收到承租戶來電反應，表示室內通往陽台之紗門與紗窗皆有破損現象，請我方派員查看。經現場勘查，確認陽台紗門與紗窗有破損現象，導致常有蚊蟲飛入，需進行更換紗網。</t>
    <phoneticPr fontId="4" type="noConversion"/>
  </si>
  <si>
    <t>新北市新店區北新路1段293號3樓</t>
  </si>
  <si>
    <t>收到承租戶來電反應，表示室內通往陽台之紗窗有破損現象，請我方派員查看。經現場勘查，確認陽台紗窗有破損現象，需進行更換紗網。</t>
    <phoneticPr fontId="4" type="noConversion"/>
  </si>
  <si>
    <t>新北市新店區中央路153號11樓之3</t>
    <phoneticPr fontId="4" type="noConversion"/>
  </si>
  <si>
    <t>收到承租人反映，馬桶有持續漏水的現象，請我方派員查看，經廠商確認，馬桶水箱零件老化，導致無法自動停止補水，建議更新。</t>
    <phoneticPr fontId="4" type="noConversion"/>
  </si>
  <si>
    <t>04-06-02</t>
    <phoneticPr fontId="4" type="noConversion"/>
  </si>
  <si>
    <t>組</t>
    <phoneticPr fontId="4" type="noConversion"/>
  </si>
  <si>
    <t>新北市新店區中央路153號13樓之19</t>
    <phoneticPr fontId="4" type="noConversion"/>
  </si>
  <si>
    <t>收到承租人反映，浴室燈具不亮，請我方派員查看，經廠商確認，燈具因老化故障不亮，建議更新。</t>
    <phoneticPr fontId="4" type="noConversion"/>
  </si>
  <si>
    <t>新北市新店區中央路161號14樓</t>
    <phoneticPr fontId="4" type="noConversion"/>
  </si>
  <si>
    <t>收到承租人反映，浴室燈具不亮，請我方派員查看，經廠商確認，浴室吸頂燈因老化無法點亮，建議更新。</t>
    <phoneticPr fontId="4" type="noConversion"/>
  </si>
  <si>
    <t>臺北市羅斯福路4段68號8樓之10</t>
    <phoneticPr fontId="4" type="noConversion"/>
  </si>
  <si>
    <t>現場主任巡視空屋時，確認有以下待修繕事項：室內牆面髒污裂隙。廠商建議：牆面以油漆補土復原(需兩道刷塗方能完整上色)，建議應立即處理。</t>
    <phoneticPr fontId="4" type="noConversion"/>
  </si>
  <si>
    <t>03-02-03</t>
    <phoneticPr fontId="4" type="noConversion"/>
  </si>
  <si>
    <t>才</t>
    <phoneticPr fontId="4" type="noConversion"/>
  </si>
  <si>
    <t>04-04-02</t>
    <phoneticPr fontId="4" type="noConversion"/>
  </si>
  <si>
    <t>只</t>
    <phoneticPr fontId="4" type="noConversion"/>
  </si>
  <si>
    <t>04-06-02</t>
    <phoneticPr fontId="4" type="noConversion"/>
  </si>
  <si>
    <t>案號4施作項目數量總計</t>
    <phoneticPr fontId="4" type="noConversion"/>
  </si>
  <si>
    <t>案號7加總金額</t>
    <phoneticPr fontId="4" type="noConversion"/>
  </si>
  <si>
    <t>合約項次</t>
    <phoneticPr fontId="4" type="noConversion"/>
  </si>
  <si>
    <t>提報修繕明細</t>
    <phoneticPr fontId="4" type="noConversion"/>
  </si>
  <si>
    <t>113年05月份月結</t>
    <phoneticPr fontId="4" type="noConversion"/>
  </si>
  <si>
    <t>臺北市羅斯福路4段68號8樓之5</t>
    <phoneticPr fontId="4" type="noConversion"/>
  </si>
  <si>
    <t>收到承租人來電反應，表示浴室洗手台和馬桶出水量很小，請我方派員查看。經廠商現場勘查，發現洗手台及馬桶進水管之三角凡而由於老化導致無法調節水量，建議更換三角凡而。</t>
  </si>
  <si>
    <t>新北市新店區中央路161號5樓之7</t>
    <phoneticPr fontId="4" type="noConversion"/>
  </si>
  <si>
    <t>收到承租人反映，室內有以下設備故障：洗手台落水頭脫離；浴室淋浴龍頭、水管、固定架損壞；陽台曬衣架兩支變型，經廠商檢查，確認設備有以下狀況：落水頭老舊結構損壞，建議更新；淋浴手把、管線老化損壞，建議更新；曬衣架老化變形，建議更新。</t>
    <phoneticPr fontId="4" type="noConversion"/>
  </si>
  <si>
    <t>03-03-03</t>
    <phoneticPr fontId="4" type="noConversion"/>
  </si>
  <si>
    <t>04-03-02</t>
    <phoneticPr fontId="4" type="noConversion"/>
  </si>
  <si>
    <t>只</t>
    <phoneticPr fontId="4" type="noConversion"/>
  </si>
  <si>
    <t>只</t>
    <phoneticPr fontId="4" type="noConversion"/>
  </si>
  <si>
    <t>新北市新店區中央路161號18樓之7</t>
    <phoneticPr fontId="4" type="noConversion"/>
  </si>
  <si>
    <t>收到承租人反映，浴室洗手台龍頭出水量很低，請我方派員查看，經廠商確認，龍頭零件因老化故障，導致出水量受限，建議更新。</t>
    <phoneticPr fontId="4" type="noConversion"/>
  </si>
  <si>
    <t>組</t>
    <phoneticPr fontId="4" type="noConversion"/>
  </si>
  <si>
    <t>新北市新店區中央路161號22樓之3</t>
    <phoneticPr fontId="4" type="noConversion"/>
  </si>
  <si>
    <t>收到承租人反映，馬桶蓋髒汙變型，請我方派員查看，經廠商確認，馬桶蓋氧化髒汙，並且邊緣破裂，繼續使用恐有安全問題，建議更新。</t>
    <phoneticPr fontId="4" type="noConversion"/>
  </si>
  <si>
    <t>04-04-03</t>
    <phoneticPr fontId="4" type="noConversion"/>
  </si>
  <si>
    <t>新北市新店區中央路153號20樓之3</t>
    <phoneticPr fontId="4" type="noConversion"/>
  </si>
  <si>
    <t>收到承租人反應，電子鎖開關功能異常，請我方派員查看，經廠商確認，電子鎖機板故障，無法推動馬達解鎖，建議更新。</t>
    <phoneticPr fontId="4" type="noConversion"/>
  </si>
  <si>
    <t>03-04-02</t>
    <phoneticPr fontId="4" type="noConversion"/>
  </si>
  <si>
    <t>03-04-04</t>
    <phoneticPr fontId="4" type="noConversion"/>
  </si>
  <si>
    <t>個</t>
    <phoneticPr fontId="4" type="noConversion"/>
  </si>
  <si>
    <t>式</t>
    <phoneticPr fontId="4" type="noConversion"/>
  </si>
  <si>
    <t>七張站
(捷10、11)</t>
    <phoneticPr fontId="4" type="noConversion"/>
  </si>
  <si>
    <t>新北市新店區北新路2段128號5樓</t>
    <phoneticPr fontId="4" type="noConversion"/>
  </si>
  <si>
    <t>113年4月3日地震，環遊市西華館秘書緊急來電通知，10樓中繼室之4.5樓專用水塔，因地震導致水位探針故障，造成淹水情形，水流至走廊，請本公司立刻派員前往查看。本公司立即派員至現場勘查淹水情形，發現淹水主因為排水孔堵塞，堵塞物為廢線材、螺絲、隔音棉所致；又由於10樓中繼室淹水，造成正下方9樓之10住戶室內天花板漏水。管委會表示，由於10樓中繼室放置2至5樓專用之中繼水塔，捷運局每月皆有空調保養廠商至10樓進行檢測及修繕，又10樓中繼室之隔音棉為捷運局裝設，故本次造成淹水情形，應由捷運局負責將10樓中繼室清潔乾淨使排水通順，並將中繼室正下方9樓之10住戶室內問題修繕完成。經查本次10樓中繼室淹水主因確實為排水孔被異物阻塞所致，且10樓中繼室為捷運局2-5樓中繼水塔專用，故建議先將中繼室(共2房)清潔乾淨，避免日後再次發生類似情形。而中繼室正樓下9樓之10住戶，室內天花板因中繼室淹水導致有水痕及壁癌，建議將該戶天花板以補土將裂縫填平，再以防水漆及油漆塗佈修繕，這部分待10樓中繼室清潔乾淨至無積水狀態後，確認天花板已無漏水情形，再進行修繕。</t>
    <phoneticPr fontId="4" type="noConversion"/>
  </si>
  <si>
    <t>01-01-01</t>
    <phoneticPr fontId="4" type="noConversion"/>
  </si>
  <si>
    <t>01-01-02</t>
    <phoneticPr fontId="4" type="noConversion"/>
  </si>
  <si>
    <t>01-01-03</t>
    <phoneticPr fontId="4" type="noConversion"/>
  </si>
  <si>
    <t>㎡</t>
    <phoneticPr fontId="4" type="noConversion"/>
  </si>
  <si>
    <t>㎡</t>
    <phoneticPr fontId="4" type="noConversion"/>
  </si>
  <si>
    <t>戶</t>
    <phoneticPr fontId="4" type="noConversion"/>
  </si>
  <si>
    <t>新北市新店區北新路1段293號3樓</t>
    <phoneticPr fontId="4" type="noConversion"/>
  </si>
  <si>
    <t>承租人來電反映，室內牆面因2024/4/3地震，導致有多道裂縫，請本公司派員勘察。廠商建議：牆面以油漆補土復原(需兩道補土與兩道刷塗方能完整上色)，建議應立即處理。</t>
    <phoneticPr fontId="4" type="noConversion"/>
  </si>
  <si>
    <t>01-01-01</t>
    <phoneticPr fontId="4" type="noConversion"/>
  </si>
  <si>
    <t>01-01-02</t>
    <phoneticPr fontId="4" type="noConversion"/>
  </si>
  <si>
    <t>㎡</t>
    <phoneticPr fontId="4" type="noConversion"/>
  </si>
  <si>
    <t>新店區公所站
(捷22)</t>
    <phoneticPr fontId="4" type="noConversion"/>
  </si>
  <si>
    <t>新北市新店區北新路1段293號3樓之1</t>
    <phoneticPr fontId="4" type="noConversion"/>
  </si>
  <si>
    <t>承租人來電反映，室內牆面因2024/4/3地震，導致有多道裂縫，請本公司派員勘察。廠商建議：牆面以油漆補土復原(需兩道補土與兩道刷塗方能完整上色)，建議應立即處理。</t>
    <phoneticPr fontId="4" type="noConversion"/>
  </si>
  <si>
    <t>新北市新店區北新路1段293號3樓之2</t>
    <phoneticPr fontId="4" type="noConversion"/>
  </si>
  <si>
    <t>承租人來電反映，室內牆面因2024/4/3地震，導致有多道裂縫，請本公司派員勘察。廠商建議：牆面以油漆補土復原(需兩道補土與兩道刷塗方能完整上色)，建議應立即處理。</t>
    <phoneticPr fontId="4" type="noConversion"/>
  </si>
  <si>
    <t>新北市新店區中央路161號15樓之3</t>
    <phoneticPr fontId="4" type="noConversion"/>
  </si>
  <si>
    <t>收到住戶通知，電子鎖開關門功能異常，請我方派員查看，經廠商確認，電子鎖門軸軸心因環境潮溼生鏽腐蝕，導致開關門功能異常，建議更新。</t>
    <phoneticPr fontId="4" type="noConversion"/>
  </si>
  <si>
    <t>臺北市羅斯福路4段68號9樓</t>
    <phoneticPr fontId="4" type="noConversion"/>
  </si>
  <si>
    <t>收到承租人反應，浴室面盆下方有漏水狀況，請我方派員查看。廠商到現場勘查，確認排水管因老化脆化產生漏水，建議更新。</t>
    <phoneticPr fontId="4" type="noConversion"/>
  </si>
  <si>
    <t>㎡</t>
    <phoneticPr fontId="4" type="noConversion"/>
  </si>
  <si>
    <t>組</t>
    <phoneticPr fontId="4" type="noConversion"/>
  </si>
  <si>
    <t>04-05-02</t>
    <phoneticPr fontId="4" type="noConversion"/>
  </si>
  <si>
    <t>組</t>
    <phoneticPr fontId="4" type="noConversion"/>
  </si>
  <si>
    <t>04-05-11</t>
    <phoneticPr fontId="4" type="noConversion"/>
  </si>
  <si>
    <t>04-05-19</t>
    <phoneticPr fontId="4" type="noConversion"/>
  </si>
  <si>
    <t>案號4施作項目數量總計</t>
    <phoneticPr fontId="4" type="noConversion"/>
  </si>
  <si>
    <t>案號2施作項目數量總計</t>
    <phoneticPr fontId="4" type="noConversion"/>
  </si>
  <si>
    <t>案號4加總金額</t>
    <phoneticPr fontId="4" type="noConversion"/>
  </si>
  <si>
    <t>案號2加總金額</t>
    <phoneticPr fontId="4" type="noConversion"/>
  </si>
  <si>
    <t>113年06月份月結</t>
    <phoneticPr fontId="4" type="noConversion"/>
  </si>
  <si>
    <t>臺北市羅斯福路4段68號8樓之13</t>
    <phoneticPr fontId="4" type="noConversion"/>
  </si>
  <si>
    <t>現場主任巡視空屋時，確認有以下待修繕事項：室內牆面髒污裂隙與三個電梯磁卡無法感應，至管理中心檢測，電梯磁卡確實無法感應。廠商建議：牆面以油漆補土復原(需兩道刷塗方能完整上色)，並至管理中心將舊的磁卡作廢並申請新磁扣，建議應立即處理。</t>
    <phoneticPr fontId="4" type="noConversion"/>
  </si>
  <si>
    <t>01-01-02</t>
    <phoneticPr fontId="4" type="noConversion"/>
  </si>
  <si>
    <t>㎡</t>
    <phoneticPr fontId="4" type="noConversion"/>
  </si>
  <si>
    <t>個</t>
    <phoneticPr fontId="4" type="noConversion"/>
  </si>
  <si>
    <t>公館站
(交11)</t>
    <phoneticPr fontId="4" type="noConversion"/>
  </si>
  <si>
    <t>臺北市羅斯福路4段68號8樓</t>
    <phoneticPr fontId="4" type="noConversion"/>
  </si>
  <si>
    <t>收到承租人反應，室內牆面與廁所磁磚因2024/4/3地震，導致有多道裂縫，請本公司派員查看。廠商建議：牆面以油漆與補土復原，建議應立即處理。</t>
    <phoneticPr fontId="4" type="noConversion"/>
  </si>
  <si>
    <t>收到承租人反應，電子鎖開關門功能異常，請我方派員查看。經廠商檢測，確認是鎖匣腐蝕，零件故障無法正常開關鎖，建議更新。</t>
  </si>
  <si>
    <t>113年07月份月結</t>
    <phoneticPr fontId="4" type="noConversion"/>
  </si>
  <si>
    <t>01-01-01</t>
    <phoneticPr fontId="4" type="noConversion"/>
  </si>
  <si>
    <t>01-01-02</t>
    <phoneticPr fontId="4" type="noConversion"/>
  </si>
  <si>
    <t>03-02-03</t>
    <phoneticPr fontId="4" type="noConversion"/>
  </si>
  <si>
    <t>㎡</t>
  </si>
  <si>
    <t>㎡</t>
    <phoneticPr fontId="4" type="noConversion"/>
  </si>
  <si>
    <t>才</t>
    <phoneticPr fontId="4" type="noConversion"/>
  </si>
  <si>
    <t>臺北市羅斯福路4段68號8樓之12</t>
  </si>
  <si>
    <t>承租人來訊報修，室內牆面因0403地震導致多處有裂縫、紗窗有一扇破損、蓮蓬頭灑水異常，請我方派員勘察。經廠商現場勘察，牆面裂縫應以補土、油漆復原(需兩道刷塗方能完整上色)；紗窗為紗網老舊破裂應更新；蓮蓬頭老化應更新，建議應立即處理。</t>
  </si>
  <si>
    <t>03-04-04</t>
    <phoneticPr fontId="4" type="noConversion"/>
  </si>
  <si>
    <t>04-03-01</t>
    <phoneticPr fontId="4" type="noConversion"/>
  </si>
  <si>
    <t>04-04-03</t>
    <phoneticPr fontId="4" type="noConversion"/>
  </si>
  <si>
    <t>個</t>
    <phoneticPr fontId="4" type="noConversion"/>
  </si>
  <si>
    <t>新北市新店區中央路153號26樓之21</t>
  </si>
  <si>
    <t>現場主任巡視空屋時，發現有以下待修繕項目：牆面髒汙裂痕、電子鎖功能異常無法正常開關、浴室沐浴龍頭使用中漏水、浴室蓮篷頭把手使用中漏水、馬桶蓋毀損，經廠商確認，牆面髒汙且經過地震有諸多裂隙，建議以補土油漆修復；電子鎖機板老化無法正常推動鎖芯上鎖，建議更新；淋浴龍頭、把手因零件老舊導致使用中會漏水，建議更新；馬桶蓋因長期日照脆化破裂，建議更新。</t>
  </si>
  <si>
    <t>01-01-01</t>
    <phoneticPr fontId="4" type="noConversion"/>
  </si>
  <si>
    <t>01-01-03</t>
    <phoneticPr fontId="4" type="noConversion"/>
  </si>
  <si>
    <t>臺北市羅斯福路4段68號9樓之6</t>
  </si>
  <si>
    <t>收到承租人反映，室內牆面有壁癌的情形，請我方派員勘察。廠商至現場勘察，發現產生壁癌的是9樓之6的房間，隔牆為9樓之7的浴室，產生壁癌的原因可能是9樓之7浴室牆面防水失效所致，建議在9樓之7浴室牆面塗滲透防水材料，並將9樓之6牆面壁癌刮除，塗佈防水漆，再披土並塗刷水泥漆。為避免壁癌造成承租人有健康疑慮，建議先修復9樓之6的牆面。</t>
    <phoneticPr fontId="4" type="noConversion"/>
  </si>
  <si>
    <t>04-04-02</t>
    <phoneticPr fontId="4" type="noConversion"/>
  </si>
  <si>
    <t>臺北市羅斯福路4段68號9樓之10</t>
  </si>
  <si>
    <t>收到承租人反映，馬桶有持續漏水的現象，請我方派員勘察。廠商至現場勘察，發現馬桶水箱零件老化，導致無法自動停止補水，建議更新。</t>
  </si>
  <si>
    <t>臺北市羅斯福路4段68號9樓之7</t>
  </si>
  <si>
    <t>收到承租人反映，室內牆面有壁癌的情形，請我方派員勘察。廠商至現場勘察，發現該戶牆面有壁癌，隔壁戶(9樓之6)的鄰牆也有壁癌，判斷漏水原因可能是由於該戶浴室牆面防水年久失效或是埋在牆壁中之冷氣排水管破損導致，建議在浴室牆面塗滲透防水材料，並將牆面壁癌刮除，塗佈防水漆，再披土並塗刷水泥漆。為避免壁癌造成承租人有健康疑慮，建議立即修繕。</t>
    <phoneticPr fontId="4" type="noConversion"/>
  </si>
  <si>
    <t>113年08月份月結</t>
    <phoneticPr fontId="4" type="noConversion"/>
  </si>
  <si>
    <t>新店機廠站
(捷17、18、19)</t>
    <phoneticPr fontId="4" type="noConversion"/>
  </si>
  <si>
    <t>新北市新店區中央路153號11樓之12</t>
    <phoneticPr fontId="4" type="noConversion"/>
  </si>
  <si>
    <t>收到承租人反應，電子鎖功能異常，無法正常開關門，請我方派員查看，經廠商確認，電子鎖機板老化損壞，無法正常啟動，建議更新。</t>
    <phoneticPr fontId="4" type="noConversion"/>
  </si>
  <si>
    <t>03-04-02</t>
    <phoneticPr fontId="4" type="noConversion"/>
  </si>
  <si>
    <t>03-04-04</t>
    <phoneticPr fontId="4" type="noConversion"/>
  </si>
  <si>
    <t>式</t>
    <phoneticPr fontId="4" type="noConversion"/>
  </si>
  <si>
    <t>新店機廠站
(捷17、18、19)</t>
    <phoneticPr fontId="4" type="noConversion"/>
  </si>
  <si>
    <t>新北市新店區中央路153號19樓之1</t>
    <phoneticPr fontId="4" type="noConversion"/>
  </si>
  <si>
    <t>收到承租人反應，電子鎖功能異常，無法正常開關門，請我方派員查看，經廠商確認，電子鎖機板老化損壞，無法正常啟動，建議更新。</t>
    <phoneticPr fontId="4" type="noConversion"/>
  </si>
  <si>
    <t>新店機廠站
(捷17、18、19)</t>
    <phoneticPr fontId="4" type="noConversion"/>
  </si>
  <si>
    <t>新北市新店區中央路153號16樓之5</t>
    <phoneticPr fontId="4" type="noConversion"/>
  </si>
  <si>
    <t>收到承租人反應，電子鎖功能異常，無法正常開關門，請我方派員查看，經廠商確認，電子鎖鎖匣老化損壞，無法正常推動門鎖，建議更新。</t>
    <phoneticPr fontId="4" type="noConversion"/>
  </si>
  <si>
    <t>新店機廠站
(捷17、18、19)</t>
    <phoneticPr fontId="4" type="noConversion"/>
  </si>
  <si>
    <t xml:space="preserve">新北市新店區中央路161號16樓之3
</t>
    <phoneticPr fontId="4" type="noConversion"/>
  </si>
  <si>
    <t>收到承租人反應，電子鎖功能異常，無法正常開關門，請我方派員查看，經廠商確認，電子鎖鎖匣老化損壞，無法正常啟動，建議更新。</t>
    <phoneticPr fontId="4" type="noConversion"/>
  </si>
  <si>
    <t>公館站
(交11)</t>
    <phoneticPr fontId="4" type="noConversion"/>
  </si>
  <si>
    <t>臺北市羅斯福路4段68號9樓之11</t>
    <phoneticPr fontId="4" type="noConversion"/>
  </si>
  <si>
    <t xml:space="preserve">
承租人來訊報修，告知浴室燈突然不亮，抽風機無法運轉，請本公司派員勘察。廠商先將浴室燈泡更新，發現浴室燈仍不會亮，抽風機也無法運轉，建議應檢修浴室線路，抽風機由於設備老化，建議更新。</t>
    <phoneticPr fontId="4" type="noConversion"/>
  </si>
  <si>
    <t xml:space="preserve"> 2024/8/14</t>
  </si>
  <si>
    <t xml:space="preserve"> 2024/8/14</t>
    <phoneticPr fontId="4" type="noConversion"/>
  </si>
  <si>
    <t>04-05-13</t>
    <phoneticPr fontId="4" type="noConversion"/>
  </si>
  <si>
    <t>05-03-01</t>
    <phoneticPr fontId="4" type="noConversion"/>
  </si>
  <si>
    <t>05-03-02</t>
    <phoneticPr fontId="4" type="noConversion"/>
  </si>
  <si>
    <t>組</t>
    <phoneticPr fontId="4" type="noConversion"/>
  </si>
  <si>
    <t>ｍ</t>
    <phoneticPr fontId="4" type="noConversion"/>
  </si>
  <si>
    <t>ｍ</t>
    <phoneticPr fontId="4" type="noConversion"/>
  </si>
  <si>
    <t>公館站
(交11)</t>
    <phoneticPr fontId="4" type="noConversion"/>
  </si>
  <si>
    <t>臺北市羅斯福路4段68號8樓之10</t>
    <phoneticPr fontId="4" type="noConversion"/>
  </si>
  <si>
    <t>現場主任巡視空屋時，發現三個電梯磁卡無法感應，至管理中心檢測，電梯磁卡確實無法感應。廠商建議至管理中心將舊的磁卡作廢並申請新磁扣，建議應立即處理。</t>
    <phoneticPr fontId="4" type="noConversion"/>
  </si>
  <si>
    <t>03-04-01</t>
    <phoneticPr fontId="4" type="noConversion"/>
  </si>
  <si>
    <t>個</t>
    <phoneticPr fontId="4" type="noConversion"/>
  </si>
  <si>
    <t>公館站
(交11)</t>
    <phoneticPr fontId="4" type="noConversion"/>
  </si>
  <si>
    <t xml:space="preserve">臺北市羅斯福路4段68號9樓之10
</t>
    <phoneticPr fontId="4" type="noConversion"/>
  </si>
  <si>
    <t xml:space="preserve"> 2024/8/15</t>
    <phoneticPr fontId="4" type="noConversion"/>
  </si>
  <si>
    <t>04-02-02</t>
    <phoneticPr fontId="4" type="noConversion"/>
  </si>
  <si>
    <t>承租人來訊報修，流理臺下方有漏水情形，請我方派員勘察。經廠商現場勘察，發現流理臺水龍頭之軟管老化破裂導致持續漏水，由於該軟管屬龍頭之一部分，無法單獨更換，建議更新流理台龍頭。</t>
    <phoneticPr fontId="4" type="noConversion"/>
  </si>
  <si>
    <t>新店機廠站
(捷17、18、19)</t>
    <phoneticPr fontId="4" type="noConversion"/>
  </si>
  <si>
    <t>新北市新店區中央路161號5樓之7</t>
    <phoneticPr fontId="4" type="noConversion"/>
  </si>
  <si>
    <t>收到承租人反應，電子鎖功能異常，無法正常開關門，請我方派員查看，經廠商確認，電子鎖鎖匣老化腐蝕，無法正常推動門鎖，建議更新。</t>
    <phoneticPr fontId="4" type="noConversion"/>
  </si>
  <si>
    <t xml:space="preserve"> 2024/8/16</t>
    <phoneticPr fontId="4" type="noConversion"/>
  </si>
  <si>
    <t>新北市新店區中央路153號19樓之13</t>
    <phoneticPr fontId="4" type="noConversion"/>
  </si>
  <si>
    <t>收到承租人反應，大門電子鎖功能異常，無法正常開關門，請我方派員查看，經廠商確認，因機匣孔內生鏽導致無法推動上鎖，建議更新。</t>
    <phoneticPr fontId="4" type="noConversion"/>
  </si>
  <si>
    <t>現場主任巡視空屋時，確認有以下待修繕項目：室內牆面髒污裂痕、陽台龍頭使用中會漏水、浴室玻璃門防水膠條老化髒汙、電子鎖功能異常無法正常上鎖，經廠商確認，牆面因自然使用造成髒汙裂隙，建議以油漆補土修復(油漆需重複上色方能完整修復)；陽台水龍頭內部零件老化建議更新；止水膠條
發霉老化脆化，恐有安全疑慮，建議更新；電子鎖鎖芯零件老化故障，建議更新。</t>
    <phoneticPr fontId="4" type="noConversion"/>
  </si>
  <si>
    <t xml:space="preserve"> 2024/8/26</t>
    <phoneticPr fontId="4" type="noConversion"/>
  </si>
  <si>
    <t>新店機廠站
(捷17、18、19)</t>
    <phoneticPr fontId="4" type="noConversion"/>
  </si>
  <si>
    <t>新北市新店區中央路153號16樓之10</t>
    <phoneticPr fontId="4" type="noConversion"/>
  </si>
  <si>
    <t>01-01-01</t>
    <phoneticPr fontId="4" type="noConversion"/>
  </si>
  <si>
    <t>01-01-02</t>
    <phoneticPr fontId="4" type="noConversion"/>
  </si>
  <si>
    <t>03-04-02</t>
    <phoneticPr fontId="4" type="noConversion"/>
  </si>
  <si>
    <t>03-04-04</t>
    <phoneticPr fontId="4" type="noConversion"/>
  </si>
  <si>
    <t>04-02-04</t>
    <phoneticPr fontId="4" type="noConversion"/>
  </si>
  <si>
    <t>04-05-09</t>
    <phoneticPr fontId="4" type="noConversion"/>
  </si>
  <si>
    <t>㎡</t>
    <phoneticPr fontId="4" type="noConversion"/>
  </si>
  <si>
    <t>ｍ</t>
    <phoneticPr fontId="4" type="noConversion"/>
  </si>
  <si>
    <t>支</t>
    <phoneticPr fontId="4" type="noConversion"/>
  </si>
  <si>
    <t>新店機廠站
(捷17、18、19)</t>
    <phoneticPr fontId="4" type="noConversion"/>
  </si>
  <si>
    <t xml:space="preserve">新北市新店區中央路153號14樓之11
</t>
    <phoneticPr fontId="4" type="noConversion"/>
  </si>
  <si>
    <t>現場主任巡視空屋時，發現有以下待修繕項目：牆面髒汙裂隙、電子鎖功能異常無法開關、陽台水龍頭使用中會漏水、浴室玻璃門止水膠條老舊損壞，經廠商確認，牆面須以補土油漆復原(油漆需多次塗刷方能完整上色)；電子鎖機板故障，建議更新；陽台水龍頭零件故障，建議更新；浴室玻璃門止水膠條老化脆化，建議更新。</t>
    <phoneticPr fontId="4" type="noConversion"/>
  </si>
  <si>
    <t>新北市新店區中央路153號18樓之21</t>
    <phoneticPr fontId="4" type="noConversion"/>
  </si>
  <si>
    <t>現場主任巡視空屋時，發現有以下待修繕事項：牆面髒汙裂隙、電子鎖功能異常無法開關、感應卡一張失效，無法解鎖大門、浴室面盆龍頭把手損壞，經廠商確認，牆面需以補土油漆復原(油漆需多次刷塗方能完整上色)；電子鎖鎖芯零件故障建議更新；面盆龍頭手把零件故障建議更新；感應卡失效建議更新。</t>
    <phoneticPr fontId="4" type="noConversion"/>
  </si>
  <si>
    <t xml:space="preserve">
2024/8/26</t>
    <phoneticPr fontId="4" type="noConversion"/>
  </si>
  <si>
    <t xml:space="preserve"> 2024/8/28</t>
    <phoneticPr fontId="4" type="noConversion"/>
  </si>
  <si>
    <t>03-04-04</t>
    <phoneticPr fontId="4" type="noConversion"/>
  </si>
  <si>
    <t>04-05-04</t>
    <phoneticPr fontId="4" type="noConversion"/>
  </si>
  <si>
    <t>組</t>
    <phoneticPr fontId="4" type="noConversion"/>
  </si>
  <si>
    <t>案號1施作項目數量總計</t>
    <phoneticPr fontId="4" type="noConversion"/>
  </si>
  <si>
    <t>案號7施作項目數量總計</t>
    <phoneticPr fontId="4" type="noConversion"/>
  </si>
  <si>
    <t>03-04-01</t>
    <phoneticPr fontId="4" type="noConversion"/>
  </si>
  <si>
    <t>案號1加總金額</t>
    <phoneticPr fontId="4" type="noConversion"/>
  </si>
  <si>
    <t>案號7加總金額</t>
    <phoneticPr fontId="4" type="noConversion"/>
  </si>
  <si>
    <t xml:space="preserve"> </t>
    <phoneticPr fontId="4" type="noConversion"/>
  </si>
  <si>
    <t>113年09月份月結</t>
    <phoneticPr fontId="4" type="noConversion"/>
  </si>
  <si>
    <t>新北市新店區中央路153號12樓之2</t>
    <phoneticPr fontId="4" type="noConversion"/>
  </si>
  <si>
    <t>收到承租人反應，電子鎖功能異常，無法順利開關大門，經廠商確認，電子鎖鎖匣老化故障，無法正常推動上鎖、解鎖，建議更新。</t>
    <phoneticPr fontId="4" type="noConversion"/>
  </si>
  <si>
    <t>03-04-02</t>
    <phoneticPr fontId="4" type="noConversion"/>
  </si>
  <si>
    <t>03-04-04</t>
  </si>
  <si>
    <t>個</t>
    <phoneticPr fontId="4" type="noConversion"/>
  </si>
  <si>
    <t>式</t>
    <phoneticPr fontId="4" type="noConversion"/>
  </si>
  <si>
    <t>收到承租人反應，電子鎖功能異常，無法正常開關門，經廠商確認，電子鎖鎖舌故障，無法正常彈出、收回，導致大門難以開關，建議更新。</t>
    <phoneticPr fontId="4" type="noConversion"/>
  </si>
  <si>
    <t>新北市新店區中央路153號22樓之25</t>
    <phoneticPr fontId="4" type="noConversion"/>
  </si>
  <si>
    <t>新北市新店區中央路153號8樓之5</t>
    <phoneticPr fontId="4" type="noConversion"/>
  </si>
  <si>
    <t>現場主任巡視空屋時，確認有以下待修繕事項：牆面油漆髒汙裂痕、電子鎖功能異常無法上鎖、陽台龍頭使用中會漏水、室內地面髒污，經廠商檢查，牆面需以補土油漆重新復原(油漆需重複刷塗方能完整上色)；電子鎖鎖芯老化故障。建議更新；陽台龍頭內部零件老化故障建議更新；室內有粉塵和灰塵髒汙堆積，建議重新清潔。</t>
    <phoneticPr fontId="4" type="noConversion"/>
  </si>
  <si>
    <t>01-01-01</t>
    <phoneticPr fontId="4" type="noConversion"/>
  </si>
  <si>
    <t>04-05-09</t>
  </si>
  <si>
    <t>戶</t>
  </si>
  <si>
    <t>公館站
(交11)</t>
    <phoneticPr fontId="4" type="noConversion"/>
  </si>
  <si>
    <t>臺北市羅斯福路4段68號8樓之10</t>
    <phoneticPr fontId="4" type="noConversion"/>
  </si>
  <si>
    <t>承租人來訊報修，淋浴龍頭無法切換成蓮蓬頭，燈管有5支不亮，請我方派員勘察。廠商至現場勘察，發現淋浴龍頭其切換拉桿無法正常運作，建議更新；蓮蓬頭軟管已硬化，建議更新；燈管5支確認開關切換後許久不亮，建議更新。</t>
    <phoneticPr fontId="4" type="noConversion"/>
  </si>
  <si>
    <t>04-03-01</t>
  </si>
  <si>
    <t>04-03-02</t>
    <phoneticPr fontId="4" type="noConversion"/>
  </si>
  <si>
    <t>新北市新店區中央路153號9樓之17</t>
    <phoneticPr fontId="4" type="noConversion"/>
  </si>
  <si>
    <t>收到承租人反映，電子鎖功能異常，無法正常開關門，經廠商確認，電子鎖機板電子零件老化故障，導致無法正常啟動門鎖，建議更新。</t>
    <phoneticPr fontId="4" type="noConversion"/>
  </si>
  <si>
    <t>新北市新店區中央路153號8樓之15</t>
    <phoneticPr fontId="4" type="noConversion"/>
  </si>
  <si>
    <t>收到承租人反映，電子鎖功能異常，無法正常開關門，經廠商確認，電子鎖機板老化故障，建議更新。</t>
    <phoneticPr fontId="4" type="noConversion"/>
  </si>
  <si>
    <t>收到承租人反應，浴室暖風機遙控器功能異常，無法感應暖風機啟動，經廠商確認，遙控器電池接點處因老化腐蝕故障，無法供電，建議更新。</t>
    <phoneticPr fontId="4" type="noConversion"/>
  </si>
  <si>
    <t>新北市新店區中央路161號20樓</t>
    <phoneticPr fontId="4" type="noConversion"/>
  </si>
  <si>
    <t>04-05-20</t>
    <phoneticPr fontId="4" type="noConversion"/>
  </si>
  <si>
    <t>04-06-07</t>
    <phoneticPr fontId="4" type="noConversion"/>
  </si>
  <si>
    <t>06-01-01</t>
    <phoneticPr fontId="4" type="noConversion"/>
  </si>
  <si>
    <t>113年10月份月結</t>
    <phoneticPr fontId="4" type="noConversion"/>
  </si>
  <si>
    <t>新北市新店區中央路161號20樓之3</t>
    <phoneticPr fontId="4" type="noConversion"/>
  </si>
  <si>
    <t>現場主任巡視空屋時，確認有以下待修繕事項：牆面髒汙裂隙、電子鎖功能異常無法順利開關門、馬桶蓋髒汙、室內需清潔，經廠商確認，牆面須以油漆補土復原(油漆需反覆刷塗方能完整上色)、電子鎖鎖匣故障建議更新、馬桶蓋氧化變色建議更新、室內地面髒汙建議清潔打掃。</t>
    <phoneticPr fontId="4" type="noConversion"/>
  </si>
  <si>
    <t>01-01-01</t>
    <phoneticPr fontId="4" type="noConversion"/>
  </si>
  <si>
    <t>01-01-02</t>
    <phoneticPr fontId="4" type="noConversion"/>
  </si>
  <si>
    <t>03-04-02</t>
    <phoneticPr fontId="4" type="noConversion"/>
  </si>
  <si>
    <t>03-04-04</t>
    <phoneticPr fontId="4" type="noConversion"/>
  </si>
  <si>
    <t>04-04-03</t>
    <phoneticPr fontId="4" type="noConversion"/>
  </si>
  <si>
    <t>新店機廠站
(捷17、18、19)</t>
    <phoneticPr fontId="4" type="noConversion"/>
  </si>
  <si>
    <t>新北市新店區中央路161號8樓之3</t>
    <phoneticPr fontId="4" type="noConversion"/>
  </si>
  <si>
    <t>收到承租人反應，陽台水龍頭使用中會漏水，經廠商確認，龍頭零件老化導致漏水，建議更新。</t>
    <phoneticPr fontId="4" type="noConversion"/>
  </si>
  <si>
    <t>04-05-09</t>
    <phoneticPr fontId="4" type="noConversion"/>
  </si>
  <si>
    <t>㎡</t>
    <phoneticPr fontId="4" type="noConversion"/>
  </si>
  <si>
    <t>㎡</t>
    <phoneticPr fontId="4" type="noConversion"/>
  </si>
  <si>
    <t>個</t>
    <phoneticPr fontId="4" type="noConversion"/>
  </si>
  <si>
    <t>式</t>
    <phoneticPr fontId="4" type="noConversion"/>
  </si>
  <si>
    <t>只</t>
    <phoneticPr fontId="4" type="noConversion"/>
  </si>
  <si>
    <t>戶</t>
    <phoneticPr fontId="4" type="noConversion"/>
  </si>
  <si>
    <t>113年12月份月結</t>
    <phoneticPr fontId="4" type="noConversion"/>
  </si>
  <si>
    <t xml:space="preserve">新北市新店區北新路1段293號4樓之2 </t>
    <phoneticPr fontId="4" type="noConversion"/>
  </si>
  <si>
    <t>承租人來訊報修，陽台燈不亮且燈具有墜落情形，請本公司派員勘察。經廠商現場勘察，由於該陽台燈老舊，更換燈泡後仍不亮，且燈具些微變形已無法固定於天花板上，建議整組更新。</t>
    <phoneticPr fontId="4" type="noConversion"/>
  </si>
  <si>
    <t>個</t>
  </si>
  <si>
    <t>新北市新店區北新路1段293號4樓之5</t>
    <phoneticPr fontId="4" type="noConversion"/>
  </si>
  <si>
    <t>承租人來訊報修，陽台燈不亮，請本公司派員勘察。經廠商現場勘察，由於該陽台燈老舊，更換燈泡後仍不亮，建議整組更新。</t>
    <phoneticPr fontId="4" type="noConversion"/>
  </si>
  <si>
    <t>新北市新店區北新路1段293號5樓之1</t>
    <phoneticPr fontId="4" type="noConversion"/>
  </si>
  <si>
    <t>現場主任執行空屋巡檢時，發現有燈管不亮、紗窗破裂的情形。經廠商現場勘察，燈管有4支不亮，一扇紗窗之紗網破裂，建議更新。</t>
    <phoneticPr fontId="4" type="noConversion"/>
  </si>
  <si>
    <t>才</t>
  </si>
  <si>
    <t>收到承租人來訊報修，告知辦公室突然有一區的插座都沒有電，承租人告知由於明日需要辦理活動，有大量文書需要製作、印製，若沒有電則無法辦公，請本公司協助立即派員勘察、檢修。廠商至現場勘察，發現辦公室入口至茶水間流理台這整區確實都沒有電，應先查修配電線路。經廠商進一步檢測，發現有一段電線有短路情形，並且有一個漏電斷路器已損壞，為避免造成承租人辦公困擾，建議立即修繕並更新。</t>
    <phoneticPr fontId="4" type="noConversion"/>
  </si>
  <si>
    <t>05-02-07</t>
    <phoneticPr fontId="4" type="noConversion"/>
  </si>
  <si>
    <t>ｍ</t>
  </si>
  <si>
    <t>新北市新店區中央路161號17樓</t>
    <phoneticPr fontId="4" type="noConversion"/>
  </si>
  <si>
    <t>收到承租人反應，電子鎖功能異常，解鎖/上鎖時反應不良，時常無法完整上鎖/解鎖，經廠商確認，電子鎖機板故障，無法推動門舌準確定位，建議更新。</t>
    <phoneticPr fontId="4" type="noConversion"/>
  </si>
  <si>
    <t>收到承租人來訊報修，颱風天後發現浴室天花板掀起來，請我方派員勘察。廠商至現場勘察，發現浴室天花板掀起原因為強風從管道間吹入，導致天花板吹落，建議更新。</t>
    <phoneticPr fontId="4" type="noConversion"/>
  </si>
  <si>
    <t>04-01-01</t>
    <phoneticPr fontId="4" type="noConversion"/>
  </si>
  <si>
    <t>間</t>
  </si>
  <si>
    <t>承租人來訊報修，臥室有片紗窗破裂，請本公司派員勘察。經廠商現場勘察，發現此面紗窗膠條及紗網老舊，導致紗窗被受風後破損，建議將紗網更新。</t>
    <phoneticPr fontId="4" type="noConversion"/>
  </si>
  <si>
    <t>114年1月份月結</t>
    <phoneticPr fontId="4" type="noConversion"/>
  </si>
  <si>
    <t>新北市新店區中央路153號8樓</t>
    <phoneticPr fontId="4" type="noConversion"/>
  </si>
  <si>
    <t>收到承租人反應，電子鎖功能異常，無法順利開關鎖，請我方派員查看，經廠商確認，電子鎖機板老化故障，無法順利運行，建議更新。</t>
    <phoneticPr fontId="4" type="noConversion"/>
  </si>
  <si>
    <t>114年2月份月結</t>
    <phoneticPr fontId="4" type="noConversion"/>
  </si>
  <si>
    <t>收到承租人來訊報修，浴室抽風機無法運轉，請本公司派員勘察。廠商至現場勘察，發現浴室抽風機馬達已老化故障，使風扇無法運轉，建議將抽風機更新。</t>
    <phoneticPr fontId="4" type="noConversion"/>
  </si>
  <si>
    <t>臺北市羅斯福路4段68號9樓</t>
  </si>
  <si>
    <t>收到承租人來訊報修，浴室沐浴龍頭無法切換用水，請本公司派員勘察。廠商至現場勘察，發現浴室沐浴龍頭的分水桿老化，已無法切換蓮蓬頭功能，建議將沐浴龍頭更新。</t>
    <phoneticPr fontId="4" type="noConversion"/>
  </si>
  <si>
    <t>收到承租人反應，浴室面盆落水頭故障，請我方派員查看，經廠商確認，落水頭零件因老化斷裂，導致無法閉合阻水，建議更新。</t>
    <phoneticPr fontId="4" type="noConversion"/>
  </si>
  <si>
    <t>新北市新店區中央路153號26樓</t>
    <phoneticPr fontId="4" type="noConversion"/>
  </si>
  <si>
    <t>收到承租人通知，廚房排水管有漏水的狀況，請我方派員查看，經廠商確認，排水管零件因老化產生裂隙導致漏水，建議更新。</t>
    <phoneticPr fontId="4" type="noConversion"/>
  </si>
  <si>
    <t>04-01-05</t>
    <phoneticPr fontId="4" type="noConversion"/>
  </si>
  <si>
    <t>收到承租人來訊報修，辦公室有3盞燈不亮，承租人自行更換燈管後仍不亮，請本公司派員勘察。經廠商現場勘察，辦公室有3盞輕鋼架燈具分別有1~2支燈管不亮，由於電燈之安定器、電容器老化故障，導致燈具有部分亮、部分不亮的情形，由於該燈具型號老舊，亦買不到替代零件，建議將這三組輕鋼架燈組更新。</t>
    <phoneticPr fontId="4" type="noConversion"/>
  </si>
  <si>
    <t>04-06-09</t>
    <phoneticPr fontId="4" type="noConversion"/>
  </si>
  <si>
    <t>114年3月份月結</t>
    <phoneticPr fontId="4" type="noConversion"/>
  </si>
  <si>
    <t>新店市北新路2段128號2樓</t>
    <phoneticPr fontId="4" type="noConversion"/>
  </si>
  <si>
    <t>收到2樓承租人來訊報修，一樓至二樓的手扶梯扶手帶有破損，請本公司派員勘察。經廠商現場勘察，發現1樓上2樓右側扶手帶以及2樓下1樓左側扶手帶皆有破損情形，由於該處屬半戶外空間，扶手帶因日曬雨淋容易產生龜裂硬化的情形，為避免商場顧客有安全疑慮，建議立即更新。</t>
    <phoneticPr fontId="4" type="noConversion"/>
  </si>
  <si>
    <t>條</t>
  </si>
  <si>
    <t>收到承租人來訊報修，發現有逃生避難指示燈無法正常開啟及消防滅火器已過期之情形，請我方派人員查看。經廠商現場勘察，逃生避難指示燈因年久老化已無法修繕，另消防滅火器有效期限已過期，兩者皆建議更新。</t>
    <phoneticPr fontId="4" type="noConversion"/>
  </si>
  <si>
    <t>新北市新店區中央路161號9樓</t>
    <phoneticPr fontId="4" type="noConversion"/>
  </si>
  <si>
    <t>收到承租人反應，電子鎖功能異常，無法順利開關鎖，請我方派員查看，經廠商確認，電子鎖機板故障，無法順利運行，建議更新。</t>
    <phoneticPr fontId="4" type="noConversion"/>
  </si>
  <si>
    <t>收到承租人反應，馬桶蓋變色嚴重，請我方派員查看。經廠商現場確認，馬桶蓋因為使用已久產生氧化變色、邊緣剝落，繼續使用恐有安全疑慮，建議更新。</t>
    <phoneticPr fontId="4" type="noConversion"/>
  </si>
  <si>
    <t>承租人來訊報修，表示馬桶蓋龜裂不堪使用，請我方派人員查看。經廠商現場勘察，馬桶蓋髒污龜裂，有夾傷人體之疑慮，已不堪使用，建議更新。</t>
    <phoneticPr fontId="4" type="noConversion"/>
  </si>
  <si>
    <t>04-06-06</t>
    <phoneticPr fontId="4" type="noConversion"/>
  </si>
  <si>
    <t>06-03-01</t>
    <phoneticPr fontId="4" type="noConversion"/>
  </si>
  <si>
    <t>114年4月份月結</t>
    <phoneticPr fontId="4" type="noConversion"/>
  </si>
  <si>
    <t>新北市新店區中央路153號28樓之1</t>
    <phoneticPr fontId="4" type="noConversion"/>
  </si>
  <si>
    <t>現場主任巡視空屋時，確認有以下項目需修繕：牆面髒汙裂隙、電子鎖運作不良無法正常開關、浴室淋浴門防水膠條脆化和發出異味、室內環境髒污、暖風機遙控器功能異常無法啟動暖風機丶不鏽鋼曬衣架鉤環缺損結構脆化，經廠商確認，牆面髒汙須以補土油漆復原（油漆需刷圖兩次方能完整覆蓋） ；電子鎖機板零件老化建議更新；防水膠條老化脆化，發出異味影響健康安全，建議更新；室內環境髒污建議清潔；遙控器電池接點鏽蝕建議更新；曬衣架缺損脆化建議更新。</t>
    <phoneticPr fontId="4" type="noConversion"/>
  </si>
  <si>
    <t>新北市新店區中央路153號26樓之9</t>
    <phoneticPr fontId="4" type="noConversion"/>
  </si>
  <si>
    <t>現場主任巡視空屋時，確認有以下待修繕項目：牆面髒汙裂隙、電子鎖功能異常無法正常開關門，經廠商確認，牆面須以補土油漆復原（油漆需塗刷兩次方能完整上色），電子鎖機版老化故障，建議更新</t>
    <phoneticPr fontId="4" type="noConversion"/>
  </si>
  <si>
    <t>$2,119</t>
  </si>
  <si>
    <t>$1,445</t>
  </si>
  <si>
    <t>$3,178</t>
  </si>
  <si>
    <t>04-05-21</t>
    <phoneticPr fontId="4" type="noConversion"/>
  </si>
  <si>
    <t>$70</t>
  </si>
  <si>
    <t>$63</t>
  </si>
  <si>
    <t>$12,037</t>
  </si>
  <si>
    <t>$917</t>
  </si>
  <si>
    <t>$530</t>
  </si>
  <si>
    <t>114年5月份月結</t>
    <phoneticPr fontId="4" type="noConversion"/>
  </si>
  <si>
    <t>新北市新店區中央路153號9樓之2</t>
    <phoneticPr fontId="4" type="noConversion"/>
  </si>
  <si>
    <t xml:space="preserve">收到承租人來訊反映，暖風機遙控器故障，請派員前往現場進行勘查和檢修。經現場勘察，確認暖風機遙控器已故障，建議予以換新。
</t>
    <phoneticPr fontId="4" type="noConversion"/>
  </si>
  <si>
    <t>114年6月份月結</t>
    <phoneticPr fontId="4" type="noConversion"/>
  </si>
  <si>
    <t>站點主任巡視空屋時，確認有以下項目需要處理：牆壁有髒汙裂隙、浴室面盆落水頭故障無法開啟、室內環境髒汙。建議以補土油漆修復牆面(油漆需塗刷兩道方能完整上色)、更新面盆落水頭、進行室內清潔。</t>
    <phoneticPr fontId="4" type="noConversion"/>
  </si>
  <si>
    <t>新北市新店區中央路153號18樓之25</t>
    <phoneticPr fontId="4" type="noConversion"/>
  </si>
  <si>
    <t>站點主任巡視空屋時，確認有以下項目需要處理：牆壁有髒汙裂隙、陽台水龍頭打開使用時會漏水、室內環境髒汙。建議以補土油漆修復牆面(油漆需塗刷兩道方能完整上色)、更新陽台水龍頭、進行室內清潔。</t>
    <phoneticPr fontId="4" type="noConversion"/>
  </si>
  <si>
    <t>新北市新店區中央路153號29樓之1</t>
    <phoneticPr fontId="4" type="noConversion"/>
  </si>
  <si>
    <t>站點主任巡視空屋時，確認有以下項目需要處理：牆壁嚴重髒汙、浴室面盆落水頭損壞無止水功能、室內環境嚴重髒汙、面盆排水管使用中會漏水、淋浴間止水膠條老化髒汙、馬桶蓋老化髒汙、磁卡故障無法感應解鎖。建議以油漆修復牆面(油漆需塗刷兩道方能完整上色)、更新面盆落水頭、進行室內清潔、更新面盆排水管、更新止水膠條、更新馬桶蓋、更新磁卡。</t>
    <phoneticPr fontId="4" type="noConversion"/>
  </si>
  <si>
    <t>04-05-08</t>
    <phoneticPr fontId="4" type="noConversion"/>
  </si>
  <si>
    <t>04-05-18</t>
    <phoneticPr fontId="4" type="noConversion"/>
  </si>
  <si>
    <t>70</t>
    <phoneticPr fontId="4" type="noConversion"/>
  </si>
  <si>
    <t>63</t>
    <phoneticPr fontId="4" type="noConversion"/>
  </si>
  <si>
    <t>241</t>
    <phoneticPr fontId="4" type="noConversion"/>
  </si>
  <si>
    <t>3178</t>
    <phoneticPr fontId="4" type="noConversion"/>
  </si>
  <si>
    <t>85</t>
    <phoneticPr fontId="4" type="noConversion"/>
  </si>
  <si>
    <t>366</t>
    <phoneticPr fontId="4" type="noConversion"/>
  </si>
  <si>
    <t>120</t>
    <phoneticPr fontId="4" type="noConversion"/>
  </si>
  <si>
    <t>289</t>
    <phoneticPr fontId="4" type="noConversion"/>
  </si>
  <si>
    <t>530</t>
    <phoneticPr fontId="4" type="noConversion"/>
  </si>
  <si>
    <t>689</t>
    <phoneticPr fontId="4" type="noConversion"/>
  </si>
  <si>
    <t>476</t>
    <phoneticPr fontId="4" type="noConversion"/>
  </si>
  <si>
    <t>5</t>
    <phoneticPr fontId="4" type="noConversion"/>
  </si>
  <si>
    <t>114年7月份月結</t>
    <phoneticPr fontId="4" type="noConversion"/>
  </si>
  <si>
    <t>收到承租人來訊反映，電子鎖功能異常無法使用，請本公司派員查看。經廠商現場查看，確認電子鎖機板故障，無法推動鎖舌伸縮，建議更新。</t>
    <phoneticPr fontId="4" type="noConversion"/>
  </si>
  <si>
    <t>收到住戶反映，室內天花板有漏水狀況，請我方派員查看。經廠商確認，漏水處為室內對外窗上方之天花板空間，需設立檢修孔後向上查看漏水原因。</t>
    <phoneticPr fontId="4" type="noConversion"/>
  </si>
  <si>
    <t>新北市新店區中央路161號11樓</t>
    <phoneticPr fontId="4" type="noConversion"/>
  </si>
  <si>
    <t>收到承租人來訊反映，電子鎖功能異常無法使用、一組開關無法啟動照明、浴室一盞燈具不亮，請本公司派員查看。經廠商現場查看，確認電子鎖機板故障丶鎖具鏽蝕建議更新，開關老化損壞建議更新，吸頂燈具老化故障建議更新。</t>
    <phoneticPr fontId="4" type="noConversion"/>
  </si>
  <si>
    <t>收到承租人來訊報修，辨公室有4盞燈不亮，承租人自行更換燈管後仍不亮，請本公司派員勘查。經廠商現場勘察，辦公室有4盞輕鋼架燈具分別有1~2支燈管不亮，由於電燈之安定器、電容器老化故障，導致燈具有部分亮、部分不亮的情形，由於該燈具型號老舊，亦買不到替代零 件，建議將這4組輕鋼架燈組更新。</t>
    <phoneticPr fontId="4" type="noConversion"/>
  </si>
  <si>
    <t>06-08-01</t>
    <phoneticPr fontId="4" type="noConversion"/>
  </si>
  <si>
    <t>05-01-02</t>
    <phoneticPr fontId="4" type="noConversion"/>
  </si>
  <si>
    <t>04-06-08</t>
    <phoneticPr fontId="4" type="noConversion"/>
  </si>
  <si>
    <t>新北市新店區中央路153號9樓之11</t>
    <phoneticPr fontId="4" type="noConversion"/>
  </si>
  <si>
    <t>收到承租人來訊反映，電子鎖功能異常無法使用，請本公司派員查看。經廠商現場查看，確認電子鎖機板故障，導致鎖舌伸縮不穩定，容易卡住，建議更新。</t>
    <phoneticPr fontId="4" type="noConversion"/>
  </si>
  <si>
    <t>新北市新店區中央路153號18樓之11</t>
    <phoneticPr fontId="4" type="noConversion"/>
  </si>
  <si>
    <t>收到承租人來訊反映，電子鎖功能異常無法使用，請本公司派員查看。經廠商現場查看，確認電子鎖鎖匣故障，鎖舌無法啟動，建議更新。</t>
    <phoneticPr fontId="4" type="noConversion"/>
  </si>
  <si>
    <t>新北市新店區中央路153號22樓之22</t>
    <phoneticPr fontId="4" type="noConversion"/>
  </si>
  <si>
    <t>收到承租人來訊反映，電子鎖功能異常無法使用丶陽台水龍頭打開無水，請本公司派員查看。經廠商現場查看，確認電子鎖機板故障導致無法上鎖，建議更新；陽台龍頭內陶瓷零件損壞導致無法出水，建議更新。</t>
    <phoneticPr fontId="4" type="noConversion"/>
  </si>
  <si>
    <t>新北市新店區中央路153號16樓之11</t>
    <phoneticPr fontId="4" type="noConversion"/>
  </si>
  <si>
    <t>收到承租人來訊反映，電子鎖功能異常無法使用，請本公司派員查看。經廠商現場查看，確認電子鎖機板、線路故障，無法以電子方式開關門鎖，建議更新。</t>
    <phoneticPr fontId="4" type="noConversion"/>
  </si>
  <si>
    <t>新北市新店區中央路153號29樓之2</t>
    <phoneticPr fontId="4" type="noConversion"/>
  </si>
  <si>
    <t>現場主任巡視空屋時，確認室內牆面小範圍髒汙裂隙、浴室淋浴門止水膠條嚴重髒污脆裂。建議以補土油漆復原牆面損壞處；更新淋浴間止水膠條(三條長邊、一條底部短邊)。</t>
    <phoneticPr fontId="4" type="noConversion"/>
  </si>
  <si>
    <t>新北市新店區中央路153號27樓之12</t>
    <phoneticPr fontId="4" type="noConversion"/>
  </si>
  <si>
    <t>現場主任巡視空屋時，確認室內牆面髒污、有孔洞裂隙。建議以補土油漆恢復牆面，因房屋使用已久油漆有自然變色狀況，與新漆顏色不一致，為避免影響視覺觀感，需進行全室油漆，另髒汙嚴重部分需重複塗刷兩道油漆。</t>
    <phoneticPr fontId="4" type="noConversion"/>
  </si>
  <si>
    <t>新北市新店區中央路153號11樓之10</t>
    <phoneticPr fontId="4" type="noConversion"/>
  </si>
  <si>
    <t>現場主任巡視空屋時，確認室內牆面嚴重髒污。因室內髒汙嚴重，建議全室油漆，嚴重處須刷塗兩道油漆方能完整上色。</t>
    <phoneticPr fontId="4" type="noConversion"/>
  </si>
  <si>
    <t>81</t>
    <phoneticPr fontId="4" type="noConversion"/>
  </si>
  <si>
    <t>104</t>
    <phoneticPr fontId="4" type="noConversion"/>
  </si>
  <si>
    <t>114年8月份月結</t>
    <phoneticPr fontId="4" type="noConversion"/>
  </si>
  <si>
    <t>114年9月份月結</t>
    <phoneticPr fontId="4" type="noConversion"/>
  </si>
  <si>
    <t>新北市新店區中央路153號29樓之2</t>
  </si>
  <si>
    <t>新北市新店區中央路161號15樓之6</t>
    <phoneticPr fontId="4" type="noConversion"/>
  </si>
  <si>
    <t>新北市新店區中央路153號24樓之3</t>
    <phoneticPr fontId="4" type="noConversion"/>
  </si>
  <si>
    <t>新北市新店區中央路153號19樓</t>
    <phoneticPr fontId="4" type="noConversion"/>
  </si>
  <si>
    <t>大坪林站
(捷8)</t>
    <phoneticPr fontId="4" type="noConversion"/>
  </si>
  <si>
    <t>新北市新店區北新路3段120號12樓之3</t>
    <phoneticPr fontId="4" type="noConversion"/>
  </si>
  <si>
    <t>現場主任巡視空屋時，確認電子鎖功能異常，無法順利開關門。經確認，電子鎖機板故障，無法推動鎖舌啟動，建議更新。</t>
    <phoneticPr fontId="4" type="noConversion"/>
  </si>
  <si>
    <t>現場主任巡視空屋時，確認電子鎖功能異常，無法順利開關門。經確認，電子鎖線路老化訊號不佳，感應卡片/輸入密碼時反應時好時壞，建議更新。</t>
    <phoneticPr fontId="4" type="noConversion"/>
  </si>
  <si>
    <t>收到承租人反應，電子鎖開關不順暢，請我方派員查看。經廠商檢測，電子鎖機板腐蝕損壞，導致上鎖功能無法執行，建議更新。</t>
    <phoneticPr fontId="4" type="noConversion"/>
  </si>
  <si>
    <t>現場主任巡視空屋時，確認室內環境髒汙。建議執行室內清潔。</t>
    <phoneticPr fontId="4" type="noConversion"/>
  </si>
  <si>
    <t>收到承租人報修，室內牆面多處有霉斑，且有局部壁癌，請本公司派員勘察。廠商至現場勘察後，發現室內牆面及天花板因環境潮濕產生多處霉斑，浴室外牆亦有局部壁癌。承租人表示已多次自行粉刷牆面進行處理。經廠商判斷，建議於浴室牆面及地面施作防水漆塗刷，以阻絕濕氣，再將室內牆面及天花板重新塗刷油漆，以恢復整體外觀及耐用性。</t>
  </si>
  <si>
    <t>現場主任巡視空屋時，確認電子鎖無法正常開關。經廠商檢測，確認電子鎖機板老化，偶會出現上鎖、開鎖不正常等狀況，建議更新。</t>
  </si>
  <si>
    <t>收到承租人反應，電子鎖開關門時很容易卡住，請我方派員查看。經確認，電子鎖機板老化故障，推動門舌時有機率卡住造成無法開門，建議更新。</t>
  </si>
  <si>
    <t>114年10月份月結</t>
    <phoneticPr fontId="4" type="noConversion"/>
  </si>
  <si>
    <t>收到承租人報修，辨公室內部有一區燈(4盞）突然不亮，將總電源重啟後，仍只有該區不亮，請本公司派員勘察。廠商至現場勘察，發現辦公室冰箱前方區域的燈確實不亮，經測試後判斷是線路異常，應先查修配電管路。經廠商進一步檢測，發現電路沒過電，應為管路內其中一段線路斷線，需重新配電，並更換該處開關。</t>
    <phoneticPr fontId="4" type="noConversion"/>
  </si>
  <si>
    <t>現場主任巡視空屋時，確認有以下待修繕項目：牆面局部髒汙裂隙、室內地面設備髒汙、洗手台落水頭損壞。建議以補土油漆修補局部汙損牆面、進行室內清潔、更新面盆落水頭。</t>
    <phoneticPr fontId="4" type="noConversion"/>
  </si>
  <si>
    <t>新北市新店區中央路153號27樓之1</t>
    <phoneticPr fontId="4" type="noConversion"/>
  </si>
  <si>
    <t>收到承租人反應，電子鎖功能異常，偶有磁卡感應無法解鎖的狀況；淋浴間止水膠條老化，使用中會漏水；馬桶蓋使用時會搖晃。經檢測，電子鎖機板老化導致功能不穩，建議更新；止水膠條、馬桶蓋老化建議更新。</t>
    <phoneticPr fontId="4" type="noConversion"/>
  </si>
  <si>
    <t>新北市新店區中央路153號27樓之9</t>
    <phoneticPr fontId="4" type="noConversion"/>
  </si>
  <si>
    <t>現場主任巡視空屋時，確認電子鎖功能異常，無法以磁卡開門。經檢測，電子鎖機板老化故障，導致無法以磁卡、密碼方式開門，建議更新。</t>
    <phoneticPr fontId="4" type="noConversion"/>
  </si>
  <si>
    <t>臺北市羅斯福路4段68號8樓之2</t>
    <phoneticPr fontId="4" type="noConversion"/>
  </si>
  <si>
    <t>收到承租人反應，浴室天花板掉落，洗手台下方有漏水狀況。經廠商現場確認，判定浴室天花板因強風從管道間吹入，導致天花板遭吹落，建議更新。經廠商現場確認，面盆水龍頭、落水頭、三角凡而老化損壞，且排水管老化破裂而產生漏水狀況，建議更新。</t>
    <phoneticPr fontId="4" type="noConversion"/>
  </si>
  <si>
    <r>
      <t>臺北市羅斯福路4段68號8樓</t>
    </r>
    <r>
      <rPr>
        <sz val="16"/>
        <rFont val="Microsoft JhengHei UI"/>
        <family val="2"/>
        <charset val="136"/>
      </rPr>
      <t>之3</t>
    </r>
    <phoneticPr fontId="4" type="noConversion"/>
  </si>
  <si>
    <t>04-05-10</t>
    <phoneticPr fontId="4" type="noConversion"/>
  </si>
  <si>
    <t>114年11月份月結</t>
    <phoneticPr fontId="4" type="noConversion"/>
  </si>
  <si>
    <t>新北市新店區中央路161號10樓之3</t>
    <phoneticPr fontId="4" type="noConversion"/>
  </si>
  <si>
    <t>收到承租人來訊報修，浴室面盆排水管漏水，請本公司派員勘查。經廠商現場確認，面盆排水管老化損壞，建議更新。</t>
    <phoneticPr fontId="4" type="noConversion"/>
  </si>
  <si>
    <t>收到承租人來電報修，馬桶蓋及座圈嚴重泛黃，請本公司派員勘查。經廠商現場確認，馬桶蓋老化嚴重泛黃，建議更新。</t>
    <phoneticPr fontId="4" type="noConversion"/>
  </si>
  <si>
    <t>現場主任巡視空屋時，確認感應卡失效，無法正常感應。經現場確認，感應卡片損壞，無法讀取及寫入資料，建議更新。</t>
    <phoneticPr fontId="4" type="noConversion"/>
  </si>
  <si>
    <t>04-05-02</t>
  </si>
  <si>
    <t>04-04-02</t>
  </si>
  <si>
    <t>03-04-01</t>
  </si>
  <si>
    <t>114年12月份月結</t>
    <phoneticPr fontId="4" type="noConversion"/>
  </si>
  <si>
    <t>新北市新店區中央路153號8樓之10</t>
    <phoneticPr fontId="4" type="noConversion"/>
  </si>
  <si>
    <t>收到承租人來電報修，淋浴間龍頭漏水，請本公司派員勘查。經廠商現場確認，單槍沐浴龍頭老化損壞，建議更新。</t>
    <phoneticPr fontId="4" type="noConversion"/>
  </si>
  <si>
    <t>收到承租人來電報修，房間牆面嚴重壁癌，有些微滲水，請本公司派員勘查。經廠商現場確認，房間牆面壁癌嚴重，判斷滲水來自浴室牆面及地面，建議浴室的部分牆面及地面施作防水漆，再以補土、油漆將房間牆面修復。</t>
    <phoneticPr fontId="4" type="noConversion"/>
  </si>
  <si>
    <t>收到承租人來電報修，房間牆壁多處發霉，浴室乾溼分離門無法正常關閉，請本公司派員勘查。經廠商現場確認，房間內牆面油漆局部各處發霉狀況，有影響健康之疑慮，建議修補處理，且確認乾溼分離門防水膠條，老化損壞，建議更新。</t>
    <phoneticPr fontId="4" type="noConversion"/>
  </si>
  <si>
    <t>新北市新店區中央路153號13樓之21</t>
    <phoneticPr fontId="4" type="noConversion"/>
  </si>
  <si>
    <t>收到承租人來電報修，馬桶蓋嚴重泛黃，陽台水龍頭漏水，請本公司派員勘查。經廠商現場確認，馬桶蓋氧化泛黃嚴重，陽台水龍頭老化損壞，建議更新。</t>
    <phoneticPr fontId="4" type="noConversion"/>
  </si>
  <si>
    <t>新北市新店區中央路161號22樓</t>
    <phoneticPr fontId="4" type="noConversion"/>
  </si>
  <si>
    <t>收到承租人來電報修，天花板和牆壁漏水發霉，請本公司派員勘查。經廠商現場確認，牆面因滲水發霉，建議剔除原有漆面，施作防水漆，並重新補土油漆復原。</t>
    <phoneticPr fontId="4" type="noConversion"/>
  </si>
  <si>
    <t>新北市新店區中央路153號27樓之2</t>
    <phoneticPr fontId="4" type="noConversion"/>
  </si>
  <si>
    <t>現場主任巡視空屋時，確認有以下待修繕項目：電子鎖故障，操作無反應。經廠商現場確認，電子鎖老化損壞，建議更新。</t>
    <phoneticPr fontId="4" type="noConversion"/>
  </si>
  <si>
    <t>新北市新店區中央路153號25樓之1</t>
    <phoneticPr fontId="4" type="noConversion"/>
  </si>
  <si>
    <t>收到承租人反應，電子鎖使用不順，請我方派員查看。經廠商現場確認，電子鎖機板老化，偶有完全無法開門狀況，影響承租人出入戶內，建議更新。</t>
    <phoneticPr fontId="4" type="noConversion"/>
  </si>
  <si>
    <t>新北市新店區北新路1段293號6樓之5</t>
    <phoneticPr fontId="4" type="noConversion"/>
  </si>
  <si>
    <t>接獲承租人來訊報修，反映室內牆面多處出現壁癌情形，已影響辦公室形象，請本公司派員前往現場勘查處理。經廠商現場勘查確認，室內多處壁癌情形研判係因外牆防水層失效所致。建議於外牆施作兩道防水塗料，以阻絕水氣滲入；室內部分則需將壁癌處刮除，進行局部批土後再施作一道面漆。惟為避免新舊油漆色差明顯，建議整面牆一併重新塗刷，以達最佳修復效果。</t>
    <phoneticPr fontId="4" type="noConversion"/>
  </si>
  <si>
    <t>新北市新店區中央路153號9樓之16</t>
    <phoneticPr fontId="4" type="noConversion"/>
  </si>
  <si>
    <t>現場主任巡視空屋時，確認有部分牆面髒汙裂隙。建議以補土油漆修復牆面髒汙部分。</t>
    <phoneticPr fontId="4" type="noConversion"/>
  </si>
  <si>
    <t>新北市新店區中央路153號15樓之11</t>
    <phoneticPr fontId="4" type="noConversion"/>
  </si>
  <si>
    <t>現場主任巡視空屋時，確認室內牆壁髒汙裂縫。因全室髒污嚴重，建議整間重新油漆、將牆壁裂縫以補土修整，髒汙嚴重處須重複油漆兩次方能完整上色。</t>
    <phoneticPr fontId="4" type="noConversion"/>
  </si>
  <si>
    <t>現場主任巡視空屋時，確認有以下待修繕項目：牆面髒污裂隙、浴室玻璃門防水膠條發霉變形、陽台龍頭漏水、暖風機遙控器故障，操作無反應。經廠商現場確認，建議以油漆補土復原汙損牆面，及浴室玻璃門防水膠條、陽台龍頭、暖風機遙控器老化損壞，建議更新。</t>
    <phoneticPr fontId="4" type="noConversion"/>
  </si>
  <si>
    <t>現場主任巡視空屋時，確認有以下待修繕項目 ：全室牆面牆面髒污裂隙、陽台龍頭關閉仍滲漏水。建議以補土油漆修復室內裂隙及汙損牆面、更新兩組陽台龍頭。</t>
    <phoneticPr fontId="4" type="noConversion"/>
  </si>
  <si>
    <t>現場主任巡視空屋時，發現電子鎖功能異常。經廠商檢測，電子鎖機板、馬達老化故障，導致解鎖時無法順利推動鎖舌伸縮，建議更新。</t>
    <phoneticPr fontId="4" type="noConversion"/>
  </si>
  <si>
    <t>新北市新店區中央路153號25樓之8</t>
    <phoneticPr fontId="4" type="noConversion"/>
  </si>
  <si>
    <t>收到社宅承租人反應，電子鎖使用不順，請我方派員查看。經廠商現場確認，電子鎖把手、機板零件老化損壞，導致開關門功能異常，建議更新。</t>
    <phoneticPr fontId="4" type="noConversion"/>
  </si>
  <si>
    <t>現場主任巡視空屋時，確認電子鎖開關門異常。經廠商現場確認，電子鎖機板老化損壞，影響磁卡、密碼解鎖功能，建議更新。</t>
    <phoneticPr fontId="4" type="noConversion"/>
  </si>
  <si>
    <t>01-01-01</t>
  </si>
  <si>
    <t>01-01-02</t>
  </si>
  <si>
    <t>01-01-03</t>
  </si>
  <si>
    <t>04-02-04</t>
  </si>
  <si>
    <t>04-05-08</t>
  </si>
  <si>
    <t>03-04-02</t>
  </si>
  <si>
    <t>04-05-21</t>
  </si>
  <si>
    <t>115年1月份月結</t>
    <phoneticPr fontId="4" type="noConversion"/>
  </si>
  <si>
    <t>2026012900003</t>
  </si>
  <si>
    <t>2026012900004</t>
  </si>
  <si>
    <t>2026013000001</t>
  </si>
  <si>
    <t>2026012900008</t>
  </si>
  <si>
    <t>站別</t>
    <phoneticPr fontId="4" type="noConversion"/>
  </si>
  <si>
    <t>地址</t>
    <phoneticPr fontId="4" type="noConversion"/>
  </si>
  <si>
    <t>新北市新店區中央路153號26樓之8</t>
    <phoneticPr fontId="4" type="noConversion"/>
  </si>
  <si>
    <t>收到承租人來電報修，電子鎖開關會卡住發出異音，請本公司派員勘查。經廠商現場確認，電子鎖老化損壞，致使無法順利上鎖且發出異音，建議更新。</t>
    <phoneticPr fontId="4" type="noConversion"/>
  </si>
  <si>
    <t>新北市新店區中央路153號8樓之21</t>
    <phoneticPr fontId="4" type="noConversion"/>
  </si>
  <si>
    <t>收到承租人來電報修，電子鎖故障無法正常上鎖，請本公司派員勘查。經廠商現場確認，電子鎖老化損壞，致使無法正常運作上鎖，建議更新。</t>
    <phoneticPr fontId="4" type="noConversion"/>
  </si>
  <si>
    <t>新北市新店區中央路161號3樓之2</t>
    <phoneticPr fontId="4" type="noConversion"/>
  </si>
  <si>
    <t>收到承租人反應，廚房水龍頭歪斜傾倒無法使用，請我方派員查看。經廠商檢測，確認RO龍頭底部的螺孔崩牙，導致螺絲無法固定，開水使用時龍頭會擺動噴濺，由於螺孔損壞無法修復，建議更新。</t>
    <phoneticPr fontId="4" type="noConversion"/>
  </si>
  <si>
    <t>2026/01/06</t>
  </si>
  <si>
    <t>2026/01/15</t>
  </si>
  <si>
    <t>2026/01/16</t>
  </si>
  <si>
    <t>2026/01/28</t>
  </si>
  <si>
    <t>2026/01/05</t>
  </si>
  <si>
    <t>2026/01/13</t>
  </si>
  <si>
    <t>2026/01/14</t>
  </si>
  <si>
    <t>2026/01/26</t>
  </si>
  <si>
    <t>04-02-03</t>
  </si>
  <si>
    <t>品項</t>
  </si>
  <si>
    <t>單價</t>
  </si>
  <si>
    <t>NUON 同等級電子鎖</t>
    <phoneticPr fontId="4" type="noConversion"/>
  </si>
  <si>
    <t>電子鎖檢修</t>
    <phoneticPr fontId="4" type="noConversion"/>
  </si>
  <si>
    <t>廚房RO三用直立式冷熱混合洗槽龍頭1/2〞</t>
    <phoneticPr fontId="4" type="noConversion"/>
  </si>
  <si>
    <t>現場主任巡視空屋時，確認廚房RO龍頭的淨水端出水異常。經確認RO龍頭的出水口零件損壞，無法單獨更換零件，建議更新。</t>
    <phoneticPr fontId="4" type="noConversion"/>
  </si>
  <si>
    <t>115年2月份月結</t>
    <phoneticPr fontId="4" type="noConversion"/>
  </si>
  <si>
    <t>2026020400003</t>
  </si>
  <si>
    <t>收到承租人報修，浴室水龍頭無法關緊一直會漏水，請我方派員查看。 經廠商檢測，無法關緊一直會漏水，需更換沐浴龍頭。</t>
    <phoneticPr fontId="4" type="noConversion"/>
  </si>
  <si>
    <t>2026020400005</t>
  </si>
  <si>
    <t>新北市新店區中央路153號10樓之17</t>
    <phoneticPr fontId="4" type="noConversion"/>
  </si>
  <si>
    <t>收到承租人報修，門鎖無法關閉，請我方派員查看。 經廠商檢測，因機件故障導至門鎖無法操作，需更換電子門鎖以恢復正常操作。</t>
    <phoneticPr fontId="4" type="noConversion"/>
  </si>
  <si>
    <t>2026020500002</t>
  </si>
  <si>
    <t>收到承租人報修，因面盆排水管會漏水，造成不便，請我方派員查看。 經廠商檢測，因連接處有裂縫造成漏水原因，建議更換新品。</t>
    <phoneticPr fontId="4" type="noConversion"/>
  </si>
  <si>
    <t>2026021200001</t>
  </si>
  <si>
    <t>現場主任巡視空屋時，確認室內部分牆面有髒汙、一個磁扣故障、流理臺僅有熱水無冷水、馬桶無法進水、燈具故障（更換燈管後仍無法亮燈），以及 2 處插座無供電情形。 經廠商現場確認，室內牆面髒汙需進行批土及油漆處理；磁扣故障須予以更新；流理臺因舊有冷水管路嚴重堵塞，須重新配置冷水管路，並安裝 1 只凡而及高壓軟管；馬桶進水凡而故障須更新；燈具因老化損壞須更新，另 2 處插座須進行線路檢測，並更新 1 只單插插座。</t>
    <phoneticPr fontId="4" type="noConversion"/>
  </si>
  <si>
    <t>2026022600006</t>
  </si>
  <si>
    <t>收到承租人報修，牆壁有兩道明顯裂隙，及馬桶蓋汙損，請我方派員查看。 經廠商檢測，屋內牆面有兩道因地震產生之裂隙，建議以補土修復後以油漆恢復美觀，浴室馬桶蓋汙損發霉，建議更新。</t>
    <phoneticPr fontId="4" type="noConversion"/>
  </si>
  <si>
    <t>2026022500001</t>
  </si>
  <si>
    <t>頂溪站
(捷2)</t>
    <phoneticPr fontId="4" type="noConversion"/>
  </si>
  <si>
    <t>新北市永和區永和路2段233號6樓</t>
    <phoneticPr fontId="4" type="noConversion"/>
  </si>
  <si>
    <t>收到承租人報修，日光燈無法使用，請我方派員查看。 經廠商檢測，照明燈具損壞無法使用，建議更新。</t>
    <phoneticPr fontId="4" type="noConversion"/>
  </si>
  <si>
    <t>2026022500002</t>
  </si>
  <si>
    <t>景安站
(捷5)</t>
    <phoneticPr fontId="4" type="noConversion"/>
  </si>
  <si>
    <t>新北市中和區景平路488號5樓之5</t>
    <phoneticPr fontId="4" type="noConversion"/>
  </si>
  <si>
    <t>2026022500003</t>
  </si>
  <si>
    <t>臺電大樓站
(交13)</t>
    <phoneticPr fontId="4" type="noConversion"/>
  </si>
  <si>
    <t>臺北市大安區羅斯福路3段177號9樓之1</t>
    <phoneticPr fontId="4" type="noConversion"/>
  </si>
  <si>
    <t>收到承租人報修，多盞電燈無法開啟，已影響室內照明亮度，並影響承租戶辦公效率，另先前本戶上方有漏水狀況，雖已排除但漏水導致兩塊天花板泡水損壞，請我方派員查看。 經廠商檢測，共有14座輕鋼架照明燈具故障導致無法開啟，兩塊損壞天花板因掉落破裂已被承租人丟棄。建議更新。</t>
    <phoneticPr fontId="4" type="noConversion"/>
  </si>
  <si>
    <t>2026022600009</t>
  </si>
  <si>
    <t>新北市新店區中央路161號4樓</t>
    <phoneticPr fontId="4" type="noConversion"/>
  </si>
  <si>
    <t>收到承租人報修，浴室水龍頭漏水，請我方派員查看。 經廠商現場檢測，確認浴室面盆水龍頭老化損壞，建議更新。</t>
    <phoneticPr fontId="4" type="noConversion"/>
  </si>
  <si>
    <t>2026/02/04</t>
  </si>
  <si>
    <t>2026/02/05</t>
  </si>
  <si>
    <t>2026/02/09</t>
  </si>
  <si>
    <t>2026/02/23</t>
  </si>
  <si>
    <t>2026/02/24</t>
  </si>
  <si>
    <t>2026/02/25</t>
  </si>
  <si>
    <t>2026/02/06</t>
  </si>
  <si>
    <t>2026/02/26</t>
  </si>
  <si>
    <t>2026/02/28</t>
  </si>
  <si>
    <t>單槍沐浴龍頭更新</t>
    <phoneticPr fontId="4" type="noConversion"/>
  </si>
  <si>
    <t>NUON廠牌同等級電子鎖(含安裝工資)</t>
    <phoneticPr fontId="4" type="noConversion"/>
  </si>
  <si>
    <t>04-02-01</t>
  </si>
  <si>
    <t>04-05-10</t>
  </si>
  <si>
    <t>04-05-11</t>
  </si>
  <si>
    <t>04-06-08</t>
  </si>
  <si>
    <t>05-01-05</t>
  </si>
  <si>
    <t>05-03-01</t>
  </si>
  <si>
    <t>05-03-02</t>
  </si>
  <si>
    <t>2026/02/11</t>
    <phoneticPr fontId="4" type="noConversion"/>
  </si>
  <si>
    <t>06-04-01</t>
  </si>
  <si>
    <t>面盆排水管更新</t>
    <phoneticPr fontId="4" type="noConversion"/>
  </si>
  <si>
    <t>室內牆面平頂刷水性水泥漆</t>
    <phoneticPr fontId="4" type="noConversion"/>
  </si>
  <si>
    <t>室內牆面補土作業</t>
    <phoneticPr fontId="4" type="noConversion"/>
  </si>
  <si>
    <t>感應卡(磁卡或磁扣)</t>
    <phoneticPr fontId="4" type="noConversion"/>
  </si>
  <si>
    <t>不銹鋼熱水管與PVC冷水管更新(暗管埋設)</t>
    <phoneticPr fontId="4" type="noConversion"/>
  </si>
  <si>
    <t>三角凡而更新</t>
    <phoneticPr fontId="4" type="noConversion"/>
  </si>
  <si>
    <t>高壓軟管更新</t>
    <phoneticPr fontId="4" type="noConversion"/>
  </si>
  <si>
    <t>天花板輕鋼架照明燈組</t>
    <phoneticPr fontId="4" type="noConversion"/>
  </si>
  <si>
    <t>單插插座組更新</t>
    <phoneticPr fontId="4" type="noConversion"/>
  </si>
  <si>
    <t>室內配電管路檢修</t>
    <phoneticPr fontId="4" type="noConversion"/>
  </si>
  <si>
    <t>室內配電線路斷路檢修（以管路長度計價）</t>
    <phoneticPr fontId="4" type="noConversion"/>
  </si>
  <si>
    <t>馬桶蓋更新</t>
    <phoneticPr fontId="4" type="noConversion"/>
  </si>
  <si>
    <t>浴廁面盆用4"單槍混合式水龍頭更新</t>
    <phoneticPr fontId="4" type="noConversion"/>
  </si>
  <si>
    <t>礦纖天花板(60*60)</t>
    <phoneticPr fontId="4" type="noConversion"/>
  </si>
  <si>
    <t>片</t>
    <phoneticPr fontId="4" type="noConversion"/>
  </si>
  <si>
    <t>115年3月份月結</t>
    <phoneticPr fontId="4" type="noConversion"/>
  </si>
  <si>
    <t>2026/03/10</t>
  </si>
  <si>
    <t>2026031000002</t>
  </si>
  <si>
    <t xml:space="preserve">新店機廠
(捷17、18、19) </t>
  </si>
  <si>
    <t>新北市新店區中央路161號16樓</t>
  </si>
  <si>
    <t>收到承租人報修，陽台水龍頭有漏水狀況，請我方派員查看。 經廠商現場檢測確認，陽台水龍頭老化損壞，建議更新。</t>
  </si>
  <si>
    <t>2026/03/11</t>
  </si>
  <si>
    <t>單把手自由龍頭更新（陶瓷）</t>
  </si>
  <si>
    <t>2026031100009</t>
  </si>
  <si>
    <t>新北市新店區中央路153號17樓之17</t>
  </si>
  <si>
    <t>收到承租人報修，馬桶一直有水流聲音，請我方派員查看。 經廠商檢測，水箱零件故障，致水流溢出無法止水，建議更換零件以達止水功能。</t>
  </si>
  <si>
    <t>2026/03/13</t>
  </si>
  <si>
    <t>04-04-04</t>
  </si>
  <si>
    <t>二段式省水型馬桶水箱零件更新</t>
  </si>
  <si>
    <t>套</t>
  </si>
  <si>
    <t>2026031100004</t>
  </si>
  <si>
    <t>新北市新店區中央路153號9樓之12</t>
  </si>
  <si>
    <t>收到承租人報修，浴室燈具閃爍，請我方派員查看。 經廠商檢測，浴室吸頂燈接點老化故障，導致燈光閃爍，建議更新。</t>
  </si>
  <si>
    <t>04-06-02</t>
  </si>
  <si>
    <t>吸頂式(單燈型)燈具組(配合現場)</t>
  </si>
  <si>
    <t>2026031100001</t>
  </si>
  <si>
    <t>新北市新店區中央路153號26樓之15</t>
  </si>
  <si>
    <t>收到承租人報修，浴室蓮蓬頭出水量明顯變小，請我方派員查看。 經廠商檢測，蓮蓬頭及軟管出水口老化損壞，導致出水量降低，建議將蓮蓬頭軟管更新。</t>
  </si>
  <si>
    <t>04-03-02</t>
  </si>
  <si>
    <t>蓮篷頭把手更新（含把手、軟管、固定座）</t>
  </si>
  <si>
    <t>2026/03/12</t>
  </si>
  <si>
    <t>2026031200002</t>
  </si>
  <si>
    <t>南勢角</t>
  </si>
  <si>
    <t>新北市中和區捷運路8之2號18樓</t>
  </si>
  <si>
    <t>現場主任巡視空屋時，確認室內牆面及環境有髒汙情形。 因全室牆面髒汙嚴重，建議整室重新施作油漆；髒汙較嚴重處需重複油漆二次方能完整上色，另現場環境亦需辦理清潔作業。</t>
  </si>
  <si>
    <t>06-01-01</t>
  </si>
  <si>
    <t>室內清潔(套房、一房型)</t>
  </si>
  <si>
    <t>室內牆面平頂刷水性水泥漆</t>
  </si>
  <si>
    <t>2026031200011</t>
  </si>
  <si>
    <t>新北市新店區中央路161號16樓之2</t>
  </si>
  <si>
    <t>收到承租人報修，浴廁面盆水龍頭有漏水現象，請我方派員查看。 經廠商檢測，面盆龍頭不易旋轉，龍頭下方有漏水，建議將水龍頭更換。</t>
  </si>
  <si>
    <t>浴廁面盆用4"單槍混合式水龍頭更新</t>
  </si>
  <si>
    <t>2026/03/17</t>
  </si>
  <si>
    <t>2026033000001</t>
  </si>
  <si>
    <t>景安
(捷5)</t>
  </si>
  <si>
    <t>新北市中和區景平路488號4樓</t>
  </si>
  <si>
    <t>現場主任於空屋巡察時，發現有7顆磁扣感應異常。 經檢測，磁扣已使用多年，應為磁扣線圈老舊故障，建議更新。</t>
  </si>
  <si>
    <t>2026/03/18</t>
  </si>
  <si>
    <t>感應卡(磁卡或磁扣)</t>
  </si>
  <si>
    <t>2026/03/20</t>
  </si>
  <si>
    <t>2026032000001</t>
  </si>
  <si>
    <t>新北市新店區中央路153號8樓</t>
  </si>
  <si>
    <t>收到承租人報修，馬桶蓋嚴重變色，請我方派員查看。 經廠商檢測，馬桶蓋因使用已久老化變色，建議更新。</t>
  </si>
  <si>
    <t>2026/03/22</t>
  </si>
  <si>
    <t>馬桶蓋更新</t>
  </si>
  <si>
    <t>2026032000003</t>
  </si>
  <si>
    <t xml:space="preserve">新店機廠
(捷17、18、19) </t>
    <phoneticPr fontId="4" type="noConversion"/>
  </si>
  <si>
    <t>新北市新店區中央路153號9樓之16</t>
  </si>
  <si>
    <t>收到承租人報修，浴室吸頂燈無法啟動、陽台龍頭漏水，請我方派員查看。 經廠商檢測，確認浴室吸頂燈老化故障需更新。另查修線路時，確認浴室供電迴路的斷路開關老化，導致電流不穩，長期使用會縮短浴室電器用品壽命，建議更新斷路器；陽台龍頭內部陶瓷零件老化故障，建議更新。</t>
  </si>
  <si>
    <t>2026/03/21</t>
  </si>
  <si>
    <t>室內配電線路斷路檢修（以管路長度計價）</t>
  </si>
  <si>
    <t>室內配電管路檢修</t>
  </si>
  <si>
    <t>05-02-02</t>
  </si>
  <si>
    <t>無熔絲開關NFB 1P 20A更新</t>
  </si>
  <si>
    <t>2026032000002</t>
  </si>
  <si>
    <t>新北市新店區中央路153號13樓之13</t>
  </si>
  <si>
    <t>收到承租人報修，浴室水龍頭使用時下方會漏水，請我方派員查看。 經廠商檢測，龍頭軟管老化破損，因軟管無法單獨購買，建議整組更新。</t>
  </si>
  <si>
    <t>2026/03/24</t>
  </si>
  <si>
    <t>2026040700001</t>
  </si>
  <si>
    <t>新北市新店區中央路161號6樓</t>
  </si>
  <si>
    <t>收到承租人來電報修，電子鎖關門時有時不會上鎖，請我方派員查看。 經廠商檢測，因鎖片位置偏移及機件故障，致門帶上後無法上鎖，建議更換電子鎖以恢復正常操作。</t>
  </si>
  <si>
    <t>2026/03/26</t>
  </si>
  <si>
    <t>電子鎖檢修</t>
  </si>
  <si>
    <t>2026032400004</t>
  </si>
  <si>
    <t>新店區公所</t>
  </si>
  <si>
    <t>新北市新店區北新路1段293號4樓之3</t>
  </si>
  <si>
    <t>收到承租人報修，辦公室有2盞燈具故障，承租人自行更換燈管後仍不亮，請我方派員查看。 經廠商現場勘察，辦公室有2盞輕鋼架燈具分別有1~2支燈管不亮， 由於電燈之安定器、電容器老化故障，導致燈具有部分亮、部分不亮的情形， 由於該燈具型號老舊，亦買不到替代零件，建議將這2組輕鋼架燈組更新。</t>
  </si>
  <si>
    <t>2026/03/25</t>
  </si>
  <si>
    <t>天花板輕鋼架照明燈組</t>
  </si>
  <si>
    <t>2026032400001</t>
  </si>
  <si>
    <t>收到承租人報修，門鎖無法關閉，請我方派員查看。 經廠商檢測，因機板故障導致門鎖無法操作，需更換電子門鎖以恢復正常功能。</t>
  </si>
  <si>
    <t>NUON廠牌同等級電子鎖(含安裝工資)</t>
  </si>
  <si>
    <t>2026032600007</t>
  </si>
  <si>
    <t>新北市新店區北新路1段293號5樓之2</t>
  </si>
  <si>
    <t>現場主任巡視房屋時，發現辦公室內有燈具不亮、陽台燈具不亮，磁卡故障等情形。 經確認，辦公室內燈具、陽台燈、磁卡因老舊導致故障，建議更新。</t>
  </si>
  <si>
    <t>2026032600008</t>
  </si>
  <si>
    <t>新北市新店區北新路1段293號7樓</t>
  </si>
  <si>
    <t>現場主任巡視房屋時，發現辦公室內有燈具不亮、陽台燈具不亮等情形。 經確認，辦公室內燈具、陽台燈因老舊導致故障，建議更新。</t>
  </si>
  <si>
    <t>2026032600010</t>
  </si>
  <si>
    <t>新北市新店區北新路1段293號7樓之3</t>
  </si>
  <si>
    <t>現場主任巡視房屋時，發現陽台燈具不亮。 經確認，陽台燈因老舊導致故障，建議更新。</t>
  </si>
  <si>
    <t>2026/03/27</t>
  </si>
  <si>
    <t>2026033000004</t>
  </si>
  <si>
    <t>公館交11</t>
  </si>
  <si>
    <t>臺北市羅斯福路4段68號9樓之2</t>
  </si>
  <si>
    <t>此戶為空戶，現場主任巡查空屋時，發現天花板照明燈組多組故障。 經廠商檢測，照明燈組有部分或全組繼電器損壞情形，共12組，建議全部更新。</t>
  </si>
  <si>
    <t>2026/03/30</t>
  </si>
  <si>
    <t>2026033000003</t>
  </si>
  <si>
    <t>臺北市羅斯福路4段68號8樓之5</t>
  </si>
  <si>
    <t>收到承租人報修，馬桶蓋脫落，請我方派員查看。 經廠商檢測，馬桶蓋使用年份已久，固定螺絲劣化，導致脫落，建議更新。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</si>
</sst>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_);[Red]\(0\)"/>
    <numFmt numFmtId="177" formatCode="_-&quot;$&quot;* #,##0_-;\-&quot;$&quot;* #,##0_-;_-&quot;$&quot;* &quot;-&quot;??_-;_-@_-"/>
    <numFmt numFmtId="178" formatCode="0_ "/>
  </numFmts>
  <fonts count="33" x14ac:knownFonts="1">
    <font>
      <sz val="10"/>
      <color rgb="FF000000"/>
      <name val="Arial"/>
    </font>
    <font>
      <sz val="12"/>
      <color theme="1"/>
      <name val="Arial"/>
      <family val="2"/>
      <charset val="136"/>
      <scheme val="minor"/>
    </font>
    <font>
      <sz val="12"/>
      <color theme="1"/>
      <name val="Arial"/>
      <family val="2"/>
      <charset val="136"/>
      <scheme val="minor"/>
    </font>
    <font>
      <sz val="12"/>
      <name val="Arial"/>
      <family val="2"/>
    </font>
    <font>
      <sz val="9"/>
      <name val="細明體"/>
      <family val="3"/>
      <charset val="136"/>
    </font>
    <font>
      <sz val="12"/>
      <name val="微軟正黑體"/>
      <family val="2"/>
      <charset val="136"/>
    </font>
    <font>
      <b/>
      <sz val="10"/>
      <color rgb="FF000000"/>
      <name val="微軟正黑體"/>
      <family val="2"/>
      <charset val="136"/>
    </font>
    <font>
      <b/>
      <sz val="10"/>
      <color rgb="FF000000"/>
      <name val="Arial"/>
      <family val="2"/>
    </font>
    <font>
      <b/>
      <sz val="16"/>
      <color rgb="FF000000"/>
      <name val="微軟正黑體"/>
      <family val="2"/>
      <charset val="136"/>
    </font>
    <font>
      <b/>
      <sz val="24"/>
      <color theme="1"/>
      <name val="微軟正黑體"/>
      <family val="2"/>
      <charset val="136"/>
    </font>
    <font>
      <b/>
      <sz val="24"/>
      <color rgb="FF000000"/>
      <name val="微軟正黑體"/>
      <family val="2"/>
      <charset val="136"/>
    </font>
    <font>
      <b/>
      <sz val="16"/>
      <name val="微軟正黑體"/>
      <family val="2"/>
      <charset val="136"/>
    </font>
    <font>
      <sz val="16"/>
      <name val="微軟正黑體"/>
      <family val="2"/>
      <charset val="136"/>
    </font>
    <font>
      <sz val="14"/>
      <name val="微軟正黑體"/>
      <family val="2"/>
      <charset val="136"/>
    </font>
    <font>
      <sz val="14"/>
      <color theme="1"/>
      <name val="微軟正黑體"/>
      <family val="2"/>
      <charset val="136"/>
    </font>
    <font>
      <sz val="14"/>
      <color rgb="FF000000"/>
      <name val="微軟正黑體"/>
      <family val="2"/>
      <charset val="136"/>
    </font>
    <font>
      <sz val="16"/>
      <color rgb="FF000000"/>
      <name val="微軟正黑體"/>
      <family val="2"/>
      <charset val="136"/>
    </font>
    <font>
      <sz val="14"/>
      <color indexed="8"/>
      <name val="微軟正黑體"/>
      <family val="2"/>
      <charset val="136"/>
    </font>
    <font>
      <sz val="16"/>
      <color indexed="8"/>
      <name val="微軟正黑體"/>
      <family val="2"/>
      <charset val="136"/>
    </font>
    <font>
      <vertAlign val="superscript"/>
      <sz val="16"/>
      <color indexed="8"/>
      <name val="微軟正黑體"/>
      <family val="2"/>
      <charset val="136"/>
    </font>
    <font>
      <vertAlign val="superscript"/>
      <sz val="16"/>
      <color rgb="FF000000"/>
      <name val="微軟正黑體"/>
      <family val="2"/>
      <charset val="136"/>
    </font>
    <font>
      <sz val="16"/>
      <color theme="1"/>
      <name val="微軟正黑體"/>
      <family val="2"/>
      <charset val="136"/>
    </font>
    <font>
      <b/>
      <sz val="18"/>
      <color indexed="8"/>
      <name val="微軟正黑體"/>
      <family val="2"/>
      <charset val="136"/>
    </font>
    <font>
      <sz val="10"/>
      <color rgb="FF000000"/>
      <name val="Arial"/>
      <family val="2"/>
    </font>
    <font>
      <sz val="16"/>
      <color rgb="FF000000"/>
      <name val="Arial"/>
      <family val="2"/>
    </font>
    <font>
      <b/>
      <sz val="30"/>
      <color indexed="81"/>
      <name val="細明體"/>
      <family val="3"/>
      <charset val="136"/>
    </font>
    <font>
      <b/>
      <sz val="30"/>
      <color indexed="81"/>
      <name val="Tahoma"/>
      <family val="2"/>
    </font>
    <font>
      <b/>
      <sz val="20"/>
      <color indexed="81"/>
      <name val="Tahoma"/>
      <family val="2"/>
    </font>
    <font>
      <sz val="9"/>
      <color indexed="81"/>
      <name val="Tahoma"/>
      <family val="2"/>
    </font>
    <font>
      <sz val="16"/>
      <name val="Microsoft JhengHei UI"/>
      <family val="2"/>
      <charset val="136"/>
    </font>
    <font>
      <sz val="10"/>
      <name val="Arial"/>
      <family val="2"/>
    </font>
    <font>
      <sz val="11"/>
      <name val="Arial"/>
      <family val="2"/>
    </font>
    <font>
      <b/>
      <sz val="12"/>
      <color rgb="FFFFFFFF"/>
      <name val="Arial"/>
      <family val="2"/>
    </font>
  </fonts>
  <fills count="12">
    <fill>
      <patternFill patternType="none"/>
    </fill>
    <fill>
      <patternFill patternType="gray125"/>
    </fill>
    <fill>
      <patternFill patternType="solid">
        <fgColor rgb="FFFFFFFF"/>
        <bgColor rgb="FFFFFFFF"/>
      </patternFill>
    </fill>
    <fill>
      <patternFill patternType="solid">
        <fgColor theme="9"/>
        <bgColor theme="9"/>
      </patternFill>
    </fill>
    <fill>
      <patternFill patternType="solid">
        <fgColor indexed="9"/>
        <bgColor auto="1"/>
      </patternFill>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0EE90"/>
        <bgColor indexed="64"/>
      </patternFill>
    </fill>
    <fill>
      <patternFill patternType="solid">
        <fgColor rgb="FFFFFFFF"/>
        <bgColor indexed="64"/>
      </patternFill>
    </fill>
    <fill>
      <patternFill patternType="solid">
        <fgColor rgb="FF808080"/>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double">
        <color rgb="FFFF0000"/>
      </top>
      <bottom/>
      <diagonal/>
    </border>
    <border>
      <left/>
      <right/>
      <top style="double">
        <color rgb="FFFF0000"/>
      </top>
      <bottom/>
      <diagonal/>
    </border>
    <border>
      <left/>
      <right style="thin">
        <color indexed="64"/>
      </right>
      <top style="double">
        <color rgb="FFFF0000"/>
      </top>
      <bottom/>
      <diagonal/>
    </border>
    <border>
      <left style="thin">
        <color indexed="64"/>
      </left>
      <right style="thin">
        <color indexed="64"/>
      </right>
      <top style="double">
        <color rgb="FFFF0000"/>
      </top>
      <bottom style="thin">
        <color indexed="64"/>
      </bottom>
      <diagonal/>
    </border>
    <border>
      <left style="thin">
        <color indexed="64"/>
      </left>
      <right/>
      <top style="double">
        <color rgb="FFFF0000"/>
      </top>
      <bottom style="thin">
        <color indexed="64"/>
      </bottom>
      <diagonal/>
    </border>
    <border>
      <left/>
      <right style="medium">
        <color indexed="64"/>
      </right>
      <top style="double">
        <color rgb="FFFF0000"/>
      </top>
      <bottom/>
      <diagonal/>
    </border>
    <border>
      <left/>
      <right style="medium">
        <color indexed="64"/>
      </right>
      <top/>
      <bottom style="medium">
        <color indexed="64"/>
      </bottom>
      <diagonal/>
    </border>
    <border>
      <left style="thin">
        <color indexed="64"/>
      </left>
      <right style="medium">
        <color indexed="64"/>
      </right>
      <top style="double">
        <color rgb="FFFF0000"/>
      </top>
      <bottom/>
      <diagonal/>
    </border>
    <border>
      <left/>
      <right/>
      <top style="double">
        <color rgb="FFFF0000"/>
      </top>
      <bottom style="medium">
        <color indexed="64"/>
      </bottom>
      <diagonal/>
    </border>
    <border>
      <left/>
      <right style="thin">
        <color indexed="64"/>
      </right>
      <top style="double">
        <color rgb="FFFF0000"/>
      </top>
      <bottom style="medium">
        <color indexed="64"/>
      </bottom>
      <diagonal/>
    </border>
    <border>
      <left style="thin">
        <color indexed="64"/>
      </left>
      <right style="thin">
        <color indexed="64"/>
      </right>
      <top style="double">
        <color rgb="FFFF0000"/>
      </top>
      <bottom style="medium">
        <color indexed="64"/>
      </bottom>
      <diagonal/>
    </border>
    <border>
      <left style="thin">
        <color indexed="64"/>
      </left>
      <right style="medium">
        <color indexed="64"/>
      </right>
      <top style="double">
        <color rgb="FFFF0000"/>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top/>
      <bottom/>
      <diagonal/>
    </border>
    <border>
      <left/>
      <right/>
      <top style="medium">
        <color indexed="64"/>
      </top>
      <bottom/>
      <diagonal/>
    </border>
    <border>
      <left style="thin">
        <color indexed="64"/>
      </left>
      <right style="thin">
        <color indexed="64"/>
      </right>
      <top style="double">
        <color rgb="FFFF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top/>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5">
    <xf numFmtId="0" fontId="0" fillId="0" borderId="0"/>
    <xf numFmtId="0" fontId="2" fillId="0" borderId="0">
      <alignment vertical="center"/>
    </xf>
    <xf numFmtId="0" fontId="30" fillId="0" borderId="0"/>
    <xf numFmtId="0" fontId="23" fillId="0" borderId="0"/>
    <xf numFmtId="0" fontId="1" fillId="0" borderId="0">
      <alignment vertical="center"/>
    </xf>
  </cellStyleXfs>
  <cellXfs count="813">
    <xf numFmtId="0" fontId="0" fillId="0" borderId="0" xfId="0"/>
    <xf numFmtId="0" fontId="0" fillId="0" borderId="0" xfId="0"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176" fontId="5" fillId="0" borderId="0" xfId="0" applyNumberFormat="1" applyFont="1" applyAlignment="1">
      <alignment horizontal="center"/>
    </xf>
    <xf numFmtId="0" fontId="7" fillId="0" borderId="0" xfId="0" applyFont="1"/>
    <xf numFmtId="0" fontId="6" fillId="0" borderId="0" xfId="0" applyFont="1"/>
    <xf numFmtId="0" fontId="7" fillId="0" borderId="0" xfId="0" applyFont="1" applyAlignment="1">
      <alignment horizontal="center"/>
    </xf>
    <xf numFmtId="0" fontId="6" fillId="0" borderId="0" xfId="0" applyFont="1" applyAlignment="1">
      <alignment vertical="center"/>
    </xf>
    <xf numFmtId="0" fontId="0" fillId="0" borderId="0" xfId="0" applyAlignment="1">
      <alignment vertical="center"/>
    </xf>
    <xf numFmtId="41" fontId="0" fillId="0" borderId="0" xfId="0" applyNumberFormat="1"/>
    <xf numFmtId="41" fontId="7" fillId="0" borderId="0" xfId="0" applyNumberFormat="1" applyFont="1"/>
    <xf numFmtId="0" fontId="11" fillId="3" borderId="1" xfId="0" applyFont="1" applyFill="1" applyBorder="1" applyAlignment="1">
      <alignment horizontal="center" vertical="center"/>
    </xf>
    <xf numFmtId="14"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1" fillId="3" borderId="5" xfId="0" applyFont="1" applyFill="1" applyBorder="1" applyAlignment="1">
      <alignment horizontal="center" vertical="center"/>
    </xf>
    <xf numFmtId="41" fontId="8" fillId="3" borderId="6" xfId="0" applyNumberFormat="1" applyFont="1" applyFill="1" applyBorder="1" applyAlignment="1">
      <alignment horizontal="center" vertical="center"/>
    </xf>
    <xf numFmtId="0" fontId="12" fillId="0" borderId="5" xfId="0" applyFont="1" applyBorder="1" applyAlignment="1">
      <alignment horizontal="center" vertical="center"/>
    </xf>
    <xf numFmtId="14" fontId="12" fillId="2" borderId="1" xfId="0" applyNumberFormat="1" applyFont="1" applyFill="1" applyBorder="1" applyAlignment="1">
      <alignment horizontal="center" vertical="center"/>
    </xf>
    <xf numFmtId="176"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41" fontId="12" fillId="2" borderId="6" xfId="0" applyNumberFormat="1" applyFont="1" applyFill="1" applyBorder="1" applyAlignment="1">
      <alignment horizontal="center" vertical="center"/>
    </xf>
    <xf numFmtId="41" fontId="12" fillId="0" borderId="6" xfId="0" applyNumberFormat="1" applyFont="1" applyBorder="1" applyAlignment="1">
      <alignment horizontal="center" vertical="center"/>
    </xf>
    <xf numFmtId="14" fontId="12" fillId="2" borderId="7" xfId="0" applyNumberFormat="1" applyFont="1" applyFill="1" applyBorder="1" applyAlignment="1">
      <alignment horizontal="center" vertical="center" wrapText="1"/>
    </xf>
    <xf numFmtId="41" fontId="12" fillId="0" borderId="9" xfId="0" applyNumberFormat="1" applyFont="1" applyBorder="1" applyAlignment="1">
      <alignment horizontal="center" vertical="center"/>
    </xf>
    <xf numFmtId="0" fontId="12" fillId="0" borderId="8" xfId="0" applyFont="1" applyBorder="1" applyAlignment="1">
      <alignment horizontal="center" vertical="center"/>
    </xf>
    <xf numFmtId="176" fontId="13" fillId="0" borderId="1" xfId="0" applyNumberFormat="1" applyFont="1" applyBorder="1" applyAlignment="1">
      <alignment horizontal="center" vertical="center"/>
    </xf>
    <xf numFmtId="14" fontId="13" fillId="0" borderId="1" xfId="0" applyNumberFormat="1" applyFont="1" applyBorder="1" applyAlignment="1">
      <alignment horizontal="center" vertical="center"/>
    </xf>
    <xf numFmtId="14" fontId="13" fillId="0" borderId="7"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0" borderId="7" xfId="0" applyFont="1" applyBorder="1" applyAlignment="1">
      <alignment horizontal="center" vertical="center" wrapText="1"/>
    </xf>
    <xf numFmtId="0" fontId="14" fillId="0" borderId="1" xfId="0" quotePrefix="1" applyFont="1" applyBorder="1" applyAlignment="1">
      <alignment horizontal="left" vertical="center"/>
    </xf>
    <xf numFmtId="0" fontId="13" fillId="0" borderId="1" xfId="0" quotePrefix="1" applyFont="1" applyBorder="1" applyAlignment="1">
      <alignment horizontal="left" vertical="center"/>
    </xf>
    <xf numFmtId="0" fontId="13" fillId="0" borderId="7" xfId="0" quotePrefix="1" applyFont="1" applyBorder="1" applyAlignment="1">
      <alignment horizontal="left" vertical="center"/>
    </xf>
    <xf numFmtId="0" fontId="13" fillId="0" borderId="1" xfId="0" applyFont="1" applyBorder="1" applyAlignment="1">
      <alignment vertical="center" wrapText="1"/>
    </xf>
    <xf numFmtId="0" fontId="13" fillId="0" borderId="7" xfId="0" applyFont="1" applyBorder="1" applyAlignment="1">
      <alignment vertical="center" wrapText="1"/>
    </xf>
    <xf numFmtId="49" fontId="12" fillId="0" borderId="1" xfId="0" applyNumberFormat="1" applyFont="1" applyBorder="1" applyAlignment="1">
      <alignment horizontal="center" vertical="center"/>
    </xf>
    <xf numFmtId="0" fontId="13" fillId="0" borderId="1" xfId="0" applyFont="1" applyBorder="1" applyAlignment="1">
      <alignment horizontal="left" vertical="center" wrapText="1"/>
    </xf>
    <xf numFmtId="177" fontId="12" fillId="0" borderId="6" xfId="0" applyNumberFormat="1" applyFont="1" applyBorder="1" applyAlignment="1">
      <alignment horizontal="center" vertical="center"/>
    </xf>
    <xf numFmtId="177" fontId="12" fillId="2" borderId="6" xfId="0" applyNumberFormat="1" applyFont="1" applyFill="1" applyBorder="1" applyAlignment="1">
      <alignment horizontal="center" vertical="center"/>
    </xf>
    <xf numFmtId="176" fontId="13" fillId="0" borderId="7" xfId="0" applyNumberFormat="1" applyFont="1" applyBorder="1" applyAlignment="1">
      <alignment horizontal="center" vertical="center"/>
    </xf>
    <xf numFmtId="49" fontId="12" fillId="0" borderId="7" xfId="0" applyNumberFormat="1" applyFont="1" applyBorder="1" applyAlignment="1">
      <alignment horizontal="center" vertical="center"/>
    </xf>
    <xf numFmtId="177" fontId="12" fillId="0" borderId="9" xfId="0" applyNumberFormat="1" applyFont="1" applyBorder="1" applyAlignment="1">
      <alignment horizontal="center" vertical="center"/>
    </xf>
    <xf numFmtId="176" fontId="15" fillId="0" borderId="1" xfId="0" applyNumberFormat="1" applyFont="1" applyBorder="1" applyAlignment="1">
      <alignment horizontal="center" vertical="center" wrapText="1"/>
    </xf>
    <xf numFmtId="176" fontId="15" fillId="0" borderId="7" xfId="0" applyNumberFormat="1" applyFont="1" applyBorder="1" applyAlignment="1">
      <alignment horizontal="center" vertical="center" wrapText="1"/>
    </xf>
    <xf numFmtId="14" fontId="15" fillId="0" borderId="1" xfId="0" applyNumberFormat="1" applyFont="1" applyBorder="1" applyAlignment="1">
      <alignment horizontal="center" vertical="center" wrapText="1"/>
    </xf>
    <xf numFmtId="14" fontId="15" fillId="0" borderId="7"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7" xfId="0" applyFont="1" applyBorder="1" applyAlignment="1">
      <alignment vertical="center" wrapText="1"/>
    </xf>
    <xf numFmtId="177" fontId="12" fillId="2" borderId="9" xfId="0" applyNumberFormat="1" applyFont="1" applyFill="1" applyBorder="1" applyAlignment="1">
      <alignment horizontal="center" vertical="center"/>
    </xf>
    <xf numFmtId="0" fontId="0" fillId="0" borderId="0" xfId="0" applyAlignment="1">
      <alignment horizontal="left"/>
    </xf>
    <xf numFmtId="14" fontId="3" fillId="0" borderId="0" xfId="0" applyNumberFormat="1" applyFont="1" applyAlignment="1">
      <alignment horizontal="left"/>
    </xf>
    <xf numFmtId="177" fontId="12" fillId="0" borderId="1" xfId="0" applyNumberFormat="1" applyFont="1" applyBorder="1" applyAlignment="1">
      <alignment horizontal="center" vertical="center"/>
    </xf>
    <xf numFmtId="177" fontId="12" fillId="2" borderId="1" xfId="0" applyNumberFormat="1" applyFont="1" applyFill="1" applyBorder="1" applyAlignment="1">
      <alignment horizontal="center" vertical="center"/>
    </xf>
    <xf numFmtId="0" fontId="16" fillId="0" borderId="1" xfId="0" applyFont="1" applyBorder="1" applyAlignment="1">
      <alignment horizontal="left" vertical="center" wrapText="1"/>
    </xf>
    <xf numFmtId="14" fontId="16" fillId="0" borderId="1" xfId="0" applyNumberFormat="1" applyFont="1" applyBorder="1" applyAlignment="1">
      <alignment horizontal="center" vertical="center" wrapText="1"/>
    </xf>
    <xf numFmtId="176" fontId="16"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76" fontId="16" fillId="0" borderId="5" xfId="0" applyNumberFormat="1" applyFont="1" applyBorder="1" applyAlignment="1">
      <alignment horizontal="center" vertical="center" wrapText="1"/>
    </xf>
    <xf numFmtId="176" fontId="16" fillId="0" borderId="8" xfId="0" applyNumberFormat="1" applyFont="1" applyBorder="1" applyAlignment="1">
      <alignment horizontal="center" vertical="center" wrapText="1"/>
    </xf>
    <xf numFmtId="0" fontId="16" fillId="0" borderId="1" xfId="0" applyFont="1" applyBorder="1" applyAlignment="1">
      <alignment vertical="center" wrapText="1"/>
    </xf>
    <xf numFmtId="0" fontId="16" fillId="0" borderId="7" xfId="0" applyFont="1" applyBorder="1" applyAlignment="1">
      <alignment vertical="center" wrapText="1"/>
    </xf>
    <xf numFmtId="0" fontId="16" fillId="0" borderId="1" xfId="0" applyFont="1" applyBorder="1" applyAlignment="1">
      <alignment horizontal="center" vertical="center" wrapText="1"/>
    </xf>
    <xf numFmtId="14" fontId="16" fillId="0" borderId="7" xfId="0" applyNumberFormat="1" applyFont="1" applyBorder="1" applyAlignment="1">
      <alignment horizontal="center" vertical="center" wrapText="1"/>
    </xf>
    <xf numFmtId="176" fontId="16" fillId="0" borderId="7" xfId="0" applyNumberFormat="1" applyFont="1" applyBorder="1" applyAlignment="1">
      <alignment horizontal="center" vertical="center" wrapText="1"/>
    </xf>
    <xf numFmtId="0" fontId="16" fillId="0" borderId="7" xfId="0" applyFont="1" applyBorder="1" applyAlignment="1">
      <alignment horizontal="center" vertical="center" wrapText="1"/>
    </xf>
    <xf numFmtId="49" fontId="12" fillId="0" borderId="0" xfId="0" applyNumberFormat="1" applyFont="1" applyAlignment="1">
      <alignment horizontal="center" vertical="center"/>
    </xf>
    <xf numFmtId="177" fontId="12" fillId="2" borderId="0" xfId="0" applyNumberFormat="1" applyFont="1" applyFill="1" applyAlignment="1">
      <alignment horizontal="center" vertical="center"/>
    </xf>
    <xf numFmtId="0" fontId="16" fillId="0" borderId="7" xfId="0" applyFont="1" applyBorder="1" applyAlignment="1">
      <alignment horizontal="left" vertical="center" wrapText="1"/>
    </xf>
    <xf numFmtId="178" fontId="17" fillId="0" borderId="1" xfId="0" applyNumberFormat="1" applyFont="1" applyBorder="1" applyAlignment="1">
      <alignment horizontal="center" vertical="center" readingOrder="1"/>
    </xf>
    <xf numFmtId="49" fontId="18" fillId="4" borderId="1" xfId="0" applyNumberFormat="1" applyFont="1" applyFill="1" applyBorder="1" applyAlignment="1">
      <alignment horizontal="center" vertical="center" wrapText="1"/>
    </xf>
    <xf numFmtId="49" fontId="18" fillId="0" borderId="1" xfId="0" applyNumberFormat="1" applyFont="1" applyBorder="1" applyAlignment="1">
      <alignment horizontal="left" vertical="center" wrapText="1" readingOrder="1"/>
    </xf>
    <xf numFmtId="49" fontId="18" fillId="0" borderId="1" xfId="0" applyNumberFormat="1" applyFont="1" applyBorder="1" applyAlignment="1">
      <alignment horizontal="center" vertical="center" wrapText="1" readingOrder="1"/>
    </xf>
    <xf numFmtId="49" fontId="18" fillId="0" borderId="1" xfId="0" applyNumberFormat="1" applyFont="1" applyBorder="1" applyAlignment="1">
      <alignment vertical="center" wrapText="1" readingOrder="1"/>
    </xf>
    <xf numFmtId="49" fontId="18" fillId="0" borderId="1" xfId="0" applyNumberFormat="1" applyFont="1" applyBorder="1" applyAlignment="1">
      <alignment horizontal="center" vertical="center" readingOrder="1"/>
    </xf>
    <xf numFmtId="176" fontId="17"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49" fontId="12" fillId="0" borderId="1" xfId="0" applyNumberFormat="1" applyFont="1" applyBorder="1" applyAlignment="1">
      <alignment horizontal="center" vertical="center" wrapText="1"/>
    </xf>
    <xf numFmtId="0" fontId="18" fillId="0" borderId="1" xfId="1" applyFont="1" applyBorder="1" applyAlignment="1">
      <alignment horizontal="left" vertical="center" wrapText="1"/>
    </xf>
    <xf numFmtId="14" fontId="16"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horizontal="left" vertical="center" wrapText="1"/>
    </xf>
    <xf numFmtId="49" fontId="12" fillId="0" borderId="7" xfId="0" applyNumberFormat="1" applyFont="1" applyBorder="1" applyAlignment="1">
      <alignment horizontal="left" vertical="center"/>
    </xf>
    <xf numFmtId="14" fontId="18" fillId="0" borderId="7" xfId="1" applyNumberFormat="1" applyFont="1" applyBorder="1" applyAlignment="1">
      <alignment horizontal="center" vertical="center" wrapText="1"/>
    </xf>
    <xf numFmtId="176" fontId="17" fillId="0" borderId="7" xfId="1" applyNumberFormat="1" applyFont="1" applyBorder="1" applyAlignment="1">
      <alignment horizontal="center" vertical="center"/>
    </xf>
    <xf numFmtId="49" fontId="18" fillId="0" borderId="7" xfId="1" applyNumberFormat="1" applyFont="1" applyBorder="1" applyAlignment="1">
      <alignment horizontal="center" vertical="center" wrapText="1"/>
    </xf>
    <xf numFmtId="0" fontId="18" fillId="0" borderId="7" xfId="1" applyFont="1" applyBorder="1" applyAlignment="1">
      <alignment horizontal="left" vertical="center" wrapText="1"/>
    </xf>
    <xf numFmtId="14" fontId="18" fillId="0" borderId="7" xfId="1" applyNumberFormat="1" applyFont="1" applyBorder="1" applyAlignment="1">
      <alignment horizontal="center" vertical="center"/>
    </xf>
    <xf numFmtId="14" fontId="12" fillId="0" borderId="21" xfId="1" applyNumberFormat="1" applyFont="1" applyBorder="1" applyAlignment="1">
      <alignment horizontal="center" vertical="center" wrapText="1"/>
    </xf>
    <xf numFmtId="176" fontId="13" fillId="0" borderId="21" xfId="1" applyNumberFormat="1" applyFont="1" applyBorder="1" applyAlignment="1">
      <alignment horizontal="center" vertical="center"/>
    </xf>
    <xf numFmtId="49" fontId="12" fillId="0" borderId="21" xfId="1" applyNumberFormat="1" applyFont="1" applyBorder="1" applyAlignment="1">
      <alignment horizontal="center" vertical="center" wrapText="1"/>
    </xf>
    <xf numFmtId="0" fontId="12" fillId="0" borderId="21" xfId="1" applyFont="1" applyBorder="1" applyAlignment="1">
      <alignment horizontal="left" vertical="center" wrapText="1"/>
    </xf>
    <xf numFmtId="14" fontId="12" fillId="0" borderId="21" xfId="1" applyNumberFormat="1" applyFont="1" applyBorder="1" applyAlignment="1">
      <alignment horizontal="center" vertical="center"/>
    </xf>
    <xf numFmtId="49" fontId="12" fillId="0" borderId="21" xfId="0" applyNumberFormat="1" applyFont="1" applyBorder="1" applyAlignment="1">
      <alignment horizontal="center" vertical="center"/>
    </xf>
    <xf numFmtId="14" fontId="18" fillId="0" borderId="21" xfId="1" applyNumberFormat="1" applyFont="1" applyBorder="1" applyAlignment="1">
      <alignment horizontal="center" vertical="center" wrapText="1"/>
    </xf>
    <xf numFmtId="49" fontId="18" fillId="0" borderId="21" xfId="1" applyNumberFormat="1" applyFont="1" applyBorder="1" applyAlignment="1">
      <alignment horizontal="center" vertical="center" wrapText="1"/>
    </xf>
    <xf numFmtId="0" fontId="18" fillId="0" borderId="21" xfId="1" applyFont="1" applyBorder="1" applyAlignment="1">
      <alignment horizontal="left" vertical="center" wrapText="1"/>
    </xf>
    <xf numFmtId="14" fontId="18" fillId="0" borderId="21" xfId="1" applyNumberFormat="1" applyFont="1" applyBorder="1" applyAlignment="1">
      <alignment horizontal="center" vertical="center"/>
    </xf>
    <xf numFmtId="49" fontId="12" fillId="0" borderId="3" xfId="0" applyNumberFormat="1" applyFont="1" applyBorder="1" applyAlignment="1">
      <alignment horizontal="center" vertical="center"/>
    </xf>
    <xf numFmtId="0" fontId="12" fillId="0" borderId="0" xfId="0" applyFont="1" applyAlignment="1">
      <alignment vertical="center"/>
    </xf>
    <xf numFmtId="49" fontId="18" fillId="0" borderId="8" xfId="0" applyNumberFormat="1" applyFont="1" applyBorder="1" applyAlignment="1">
      <alignment horizontal="center" vertical="center" readingOrder="1"/>
    </xf>
    <xf numFmtId="49" fontId="12" fillId="0" borderId="23" xfId="0" applyNumberFormat="1" applyFont="1" applyBorder="1" applyAlignment="1">
      <alignment horizontal="center" vertical="center" readingOrder="1"/>
    </xf>
    <xf numFmtId="177" fontId="12" fillId="2" borderId="24" xfId="0" applyNumberFormat="1" applyFont="1" applyFill="1" applyBorder="1" applyAlignment="1">
      <alignment horizontal="center" vertical="center"/>
    </xf>
    <xf numFmtId="0" fontId="12" fillId="0" borderId="23" xfId="0" applyFont="1" applyBorder="1" applyAlignment="1">
      <alignment horizontal="center" vertical="center"/>
    </xf>
    <xf numFmtId="177" fontId="12" fillId="0" borderId="24" xfId="0" applyNumberFormat="1" applyFont="1" applyBorder="1" applyAlignment="1">
      <alignment horizontal="center" vertical="center"/>
    </xf>
    <xf numFmtId="177" fontId="12" fillId="0" borderId="4" xfId="0" applyNumberFormat="1" applyFont="1" applyBorder="1" applyAlignment="1">
      <alignment horizontal="center" vertical="center"/>
    </xf>
    <xf numFmtId="177" fontId="12" fillId="2" borderId="4" xfId="0" applyNumberFormat="1" applyFont="1" applyFill="1" applyBorder="1" applyAlignment="1">
      <alignment horizontal="center" vertical="center"/>
    </xf>
    <xf numFmtId="49" fontId="18" fillId="0" borderId="5" xfId="0" applyNumberFormat="1" applyFont="1" applyBorder="1" applyAlignment="1">
      <alignment horizontal="center" vertical="center" readingOrder="1"/>
    </xf>
    <xf numFmtId="176" fontId="17" fillId="0" borderId="1" xfId="1" applyNumberFormat="1" applyFont="1" applyBorder="1" applyAlignment="1">
      <alignment horizontal="center" vertical="center"/>
    </xf>
    <xf numFmtId="49" fontId="18" fillId="0" borderId="1" xfId="1" applyNumberFormat="1" applyFont="1" applyBorder="1" applyAlignment="1">
      <alignment horizontal="center" vertical="center" wrapText="1"/>
    </xf>
    <xf numFmtId="14" fontId="18" fillId="0" borderId="1" xfId="1" applyNumberFormat="1" applyFont="1" applyBorder="1" applyAlignment="1">
      <alignment horizontal="center" vertical="center"/>
    </xf>
    <xf numFmtId="14" fontId="12" fillId="0" borderId="1" xfId="1" applyNumberFormat="1" applyFont="1" applyBorder="1" applyAlignment="1">
      <alignment horizontal="center" vertical="center" wrapText="1"/>
    </xf>
    <xf numFmtId="176" fontId="13" fillId="0" borderId="1" xfId="1" applyNumberFormat="1" applyFont="1" applyBorder="1" applyAlignment="1">
      <alignment horizontal="center" vertical="center"/>
    </xf>
    <xf numFmtId="49" fontId="12" fillId="0" borderId="1" xfId="1" applyNumberFormat="1" applyFont="1" applyBorder="1" applyAlignment="1">
      <alignment horizontal="center" vertical="center" wrapText="1"/>
    </xf>
    <xf numFmtId="0" fontId="12" fillId="0" borderId="1" xfId="1" applyFont="1" applyBorder="1" applyAlignment="1">
      <alignment horizontal="left" vertical="center" wrapText="1"/>
    </xf>
    <xf numFmtId="14" fontId="12" fillId="0" borderId="1" xfId="1" applyNumberFormat="1" applyFont="1" applyBorder="1" applyAlignment="1">
      <alignment horizontal="center" vertical="center"/>
    </xf>
    <xf numFmtId="49" fontId="12" fillId="0" borderId="5" xfId="0" applyNumberFormat="1" applyFont="1" applyBorder="1" applyAlignment="1">
      <alignment horizontal="center" vertical="center" readingOrder="1"/>
    </xf>
    <xf numFmtId="49" fontId="12" fillId="0" borderId="8" xfId="0" applyNumberFormat="1" applyFont="1" applyBorder="1" applyAlignment="1">
      <alignment horizontal="center" vertical="center" readingOrder="1"/>
    </xf>
    <xf numFmtId="14" fontId="12" fillId="0" borderId="7" xfId="1" applyNumberFormat="1" applyFont="1" applyBorder="1" applyAlignment="1">
      <alignment horizontal="center" vertical="center" wrapText="1"/>
    </xf>
    <xf numFmtId="176" fontId="13" fillId="0" borderId="7" xfId="1" applyNumberFormat="1" applyFont="1" applyBorder="1" applyAlignment="1">
      <alignment horizontal="center" vertical="center"/>
    </xf>
    <xf numFmtId="49" fontId="12" fillId="0" borderId="7" xfId="1" applyNumberFormat="1" applyFont="1" applyBorder="1" applyAlignment="1">
      <alignment horizontal="center" vertical="center" wrapText="1"/>
    </xf>
    <xf numFmtId="0" fontId="12" fillId="0" borderId="7" xfId="1" applyFont="1" applyBorder="1" applyAlignment="1">
      <alignment horizontal="left" vertical="center" wrapText="1"/>
    </xf>
    <xf numFmtId="14" fontId="12" fillId="0" borderId="7" xfId="1" applyNumberFormat="1" applyFont="1" applyBorder="1" applyAlignment="1">
      <alignment horizontal="center" vertical="center"/>
    </xf>
    <xf numFmtId="176" fontId="17" fillId="0" borderId="7" xfId="1" applyNumberFormat="1" applyFont="1" applyBorder="1" applyAlignment="1">
      <alignment horizontal="center" vertical="center" wrapText="1"/>
    </xf>
    <xf numFmtId="14" fontId="18" fillId="5" borderId="1" xfId="1" applyNumberFormat="1" applyFont="1" applyFill="1" applyBorder="1" applyAlignment="1">
      <alignment horizontal="center" vertical="center"/>
    </xf>
    <xf numFmtId="14" fontId="16" fillId="0" borderId="7" xfId="0" applyNumberFormat="1" applyFont="1" applyBorder="1" applyAlignment="1">
      <alignment horizontal="left" vertical="center"/>
    </xf>
    <xf numFmtId="49" fontId="12" fillId="0" borderId="0" xfId="1" applyNumberFormat="1" applyFont="1" applyAlignment="1">
      <alignment vertical="center" wrapText="1"/>
    </xf>
    <xf numFmtId="14" fontId="18" fillId="0" borderId="1" xfId="1" applyNumberFormat="1" applyFont="1" applyBorder="1" applyAlignment="1">
      <alignment horizontal="center" vertical="center" wrapText="1"/>
    </xf>
    <xf numFmtId="14" fontId="18" fillId="5" borderId="1" xfId="1" applyNumberFormat="1" applyFont="1" applyFill="1" applyBorder="1" applyAlignment="1">
      <alignment horizontal="center" vertical="center" wrapText="1"/>
    </xf>
    <xf numFmtId="14" fontId="18" fillId="5" borderId="7" xfId="1" applyNumberFormat="1" applyFont="1" applyFill="1" applyBorder="1" applyAlignment="1">
      <alignment horizontal="center" vertical="center" wrapText="1"/>
    </xf>
    <xf numFmtId="49" fontId="12" fillId="0" borderId="1" xfId="0" applyNumberFormat="1" applyFont="1" applyBorder="1" applyAlignment="1">
      <alignment vertical="center"/>
    </xf>
    <xf numFmtId="177" fontId="12" fillId="0" borderId="6" xfId="0" applyNumberFormat="1" applyFont="1" applyBorder="1" applyAlignment="1">
      <alignment vertical="center"/>
    </xf>
    <xf numFmtId="0" fontId="11" fillId="3" borderId="12" xfId="0" applyFont="1" applyFill="1" applyBorder="1" applyAlignment="1">
      <alignment horizontal="center" vertical="center"/>
    </xf>
    <xf numFmtId="14" fontId="8" fillId="3" borderId="10" xfId="0" applyNumberFormat="1" applyFont="1" applyFill="1" applyBorder="1" applyAlignment="1">
      <alignment horizontal="center" vertical="center"/>
    </xf>
    <xf numFmtId="0" fontId="8" fillId="3" borderId="10" xfId="0" applyFont="1" applyFill="1" applyBorder="1" applyAlignment="1">
      <alignment horizontal="center" vertical="center"/>
    </xf>
    <xf numFmtId="0" fontId="11" fillId="3" borderId="10" xfId="0" applyFont="1" applyFill="1" applyBorder="1" applyAlignment="1">
      <alignment horizontal="center" vertical="center"/>
    </xf>
    <xf numFmtId="41" fontId="8" fillId="3" borderId="18" xfId="0" applyNumberFormat="1" applyFont="1" applyFill="1" applyBorder="1" applyAlignment="1">
      <alignment horizontal="center" vertical="center"/>
    </xf>
    <xf numFmtId="14" fontId="16" fillId="0" borderId="3" xfId="0" applyNumberFormat="1" applyFont="1" applyBorder="1" applyAlignment="1">
      <alignment horizontal="left" vertical="center"/>
    </xf>
    <xf numFmtId="49" fontId="12" fillId="0" borderId="3" xfId="0" applyNumberFormat="1" applyFont="1" applyBorder="1" applyAlignment="1">
      <alignment vertical="center"/>
    </xf>
    <xf numFmtId="177" fontId="12" fillId="0" borderId="4" xfId="0" applyNumberFormat="1" applyFont="1" applyBorder="1" applyAlignment="1">
      <alignment vertical="center"/>
    </xf>
    <xf numFmtId="49" fontId="12" fillId="0" borderId="7" xfId="0" applyNumberFormat="1" applyFont="1" applyBorder="1" applyAlignment="1">
      <alignment vertical="center"/>
    </xf>
    <xf numFmtId="177" fontId="12" fillId="0" borderId="9" xfId="0" applyNumberFormat="1" applyFont="1" applyBorder="1" applyAlignment="1">
      <alignment vertical="center"/>
    </xf>
    <xf numFmtId="176" fontId="17" fillId="0" borderId="21" xfId="1" applyNumberFormat="1" applyFont="1" applyBorder="1" applyAlignment="1">
      <alignment horizontal="center" vertical="center"/>
    </xf>
    <xf numFmtId="14" fontId="18" fillId="5" borderId="21" xfId="1" applyNumberFormat="1" applyFont="1" applyFill="1" applyBorder="1" applyAlignment="1">
      <alignment horizontal="center" vertical="center" wrapText="1"/>
    </xf>
    <xf numFmtId="49" fontId="12" fillId="0" borderId="21" xfId="0" applyNumberFormat="1" applyFont="1" applyBorder="1" applyAlignment="1">
      <alignment horizontal="left" vertical="center"/>
    </xf>
    <xf numFmtId="176" fontId="21" fillId="0" borderId="1" xfId="1" applyNumberFormat="1" applyFont="1" applyBorder="1" applyAlignment="1">
      <alignment horizontal="center" vertical="center"/>
    </xf>
    <xf numFmtId="0" fontId="21" fillId="0" borderId="1" xfId="1" applyFont="1" applyBorder="1" applyAlignment="1">
      <alignment horizontal="left" vertical="center" wrapText="1"/>
    </xf>
    <xf numFmtId="0" fontId="21" fillId="0" borderId="1" xfId="1" applyFont="1" applyBorder="1" applyAlignment="1">
      <alignment horizontal="center" vertical="center" wrapText="1"/>
    </xf>
    <xf numFmtId="176" fontId="18" fillId="0" borderId="1" xfId="1" applyNumberFormat="1" applyFont="1" applyBorder="1" applyAlignment="1">
      <alignment horizontal="center" vertical="center"/>
    </xf>
    <xf numFmtId="176" fontId="18" fillId="0" borderId="7" xfId="1" applyNumberFormat="1" applyFont="1" applyBorder="1" applyAlignment="1">
      <alignment horizontal="center" vertical="center"/>
    </xf>
    <xf numFmtId="0" fontId="11" fillId="3" borderId="2" xfId="0" applyFont="1" applyFill="1" applyBorder="1" applyAlignment="1">
      <alignment horizontal="center" vertical="center"/>
    </xf>
    <xf numFmtId="14" fontId="8" fillId="3" borderId="3" xfId="0" applyNumberFormat="1" applyFont="1" applyFill="1" applyBorder="1" applyAlignment="1">
      <alignment horizontal="center" vertical="center"/>
    </xf>
    <xf numFmtId="0" fontId="8" fillId="3" borderId="3" xfId="0" applyFont="1" applyFill="1" applyBorder="1" applyAlignment="1">
      <alignment horizontal="center" vertical="center"/>
    </xf>
    <xf numFmtId="0" fontId="11" fillId="3" borderId="3" xfId="0" applyFont="1" applyFill="1" applyBorder="1" applyAlignment="1">
      <alignment horizontal="center" vertical="center"/>
    </xf>
    <xf numFmtId="41" fontId="8" fillId="3" borderId="4" xfId="0" applyNumberFormat="1" applyFont="1" applyFill="1" applyBorder="1" applyAlignment="1">
      <alignment horizontal="center" vertical="center"/>
    </xf>
    <xf numFmtId="0" fontId="21" fillId="0" borderId="7" xfId="1" applyFont="1" applyBorder="1" applyAlignment="1">
      <alignment horizontal="center" vertical="center" wrapText="1"/>
    </xf>
    <xf numFmtId="0" fontId="11" fillId="3" borderId="25" xfId="0" applyFont="1" applyFill="1" applyBorder="1" applyAlignment="1">
      <alignment horizontal="center" vertical="center"/>
    </xf>
    <xf numFmtId="14" fontId="8" fillId="3" borderId="22" xfId="0" applyNumberFormat="1" applyFont="1" applyFill="1" applyBorder="1" applyAlignment="1">
      <alignment horizontal="center" vertical="center"/>
    </xf>
    <xf numFmtId="0" fontId="8" fillId="3" borderId="22" xfId="0" applyFont="1" applyFill="1" applyBorder="1" applyAlignment="1">
      <alignment horizontal="center" vertical="center"/>
    </xf>
    <xf numFmtId="0" fontId="11" fillId="3" borderId="22" xfId="0" applyFont="1" applyFill="1" applyBorder="1" applyAlignment="1">
      <alignment horizontal="center" vertical="center"/>
    </xf>
    <xf numFmtId="41" fontId="8" fillId="3" borderId="29" xfId="0" applyNumberFormat="1" applyFont="1" applyFill="1" applyBorder="1" applyAlignment="1">
      <alignment horizontal="center" vertical="center"/>
    </xf>
    <xf numFmtId="14" fontId="16" fillId="0" borderId="21" xfId="0" applyNumberFormat="1" applyFont="1" applyBorder="1" applyAlignment="1">
      <alignment horizontal="center" vertical="center"/>
    </xf>
    <xf numFmtId="176" fontId="18" fillId="0" borderId="21" xfId="1" applyNumberFormat="1" applyFont="1" applyBorder="1" applyAlignment="1">
      <alignment horizontal="center" vertical="center"/>
    </xf>
    <xf numFmtId="177" fontId="12" fillId="0" borderId="24" xfId="0" applyNumberFormat="1" applyFont="1" applyBorder="1" applyAlignment="1">
      <alignment vertical="center"/>
    </xf>
    <xf numFmtId="0" fontId="18" fillId="0" borderId="1" xfId="1" applyFont="1" applyBorder="1" applyAlignment="1">
      <alignment vertical="center" wrapText="1"/>
    </xf>
    <xf numFmtId="0" fontId="21" fillId="0" borderId="21" xfId="1" applyFont="1" applyBorder="1" applyAlignment="1">
      <alignment horizontal="center" vertical="center" wrapText="1"/>
    </xf>
    <xf numFmtId="49" fontId="12" fillId="0" borderId="21" xfId="0" applyNumberFormat="1" applyFont="1" applyBorder="1" applyAlignment="1">
      <alignment vertical="center"/>
    </xf>
    <xf numFmtId="14" fontId="8" fillId="3" borderId="33" xfId="0" applyNumberFormat="1" applyFont="1" applyFill="1" applyBorder="1" applyAlignment="1">
      <alignment horizontal="center" vertical="center"/>
    </xf>
    <xf numFmtId="49" fontId="12" fillId="0" borderId="34" xfId="0" applyNumberFormat="1" applyFont="1" applyBorder="1" applyAlignment="1">
      <alignment horizontal="center" vertical="center"/>
    </xf>
    <xf numFmtId="49" fontId="12" fillId="0" borderId="35" xfId="0" applyNumberFormat="1" applyFont="1" applyBorder="1" applyAlignment="1">
      <alignment horizontal="center" vertical="center"/>
    </xf>
    <xf numFmtId="49" fontId="12" fillId="0" borderId="37" xfId="0" applyNumberFormat="1" applyFont="1" applyBorder="1" applyAlignment="1">
      <alignment horizontal="center" vertical="center"/>
    </xf>
    <xf numFmtId="49" fontId="12" fillId="0" borderId="36" xfId="0" applyNumberFormat="1" applyFont="1" applyBorder="1" applyAlignment="1">
      <alignment horizontal="center" vertical="center"/>
    </xf>
    <xf numFmtId="49" fontId="12" fillId="0" borderId="10" xfId="0" applyNumberFormat="1" applyFont="1" applyBorder="1" applyAlignment="1">
      <alignment vertical="center"/>
    </xf>
    <xf numFmtId="49" fontId="12" fillId="0" borderId="38" xfId="0" applyNumberFormat="1" applyFont="1" applyBorder="1" applyAlignment="1">
      <alignment horizontal="center" vertical="center"/>
    </xf>
    <xf numFmtId="177" fontId="12" fillId="0" borderId="18" xfId="0" applyNumberFormat="1" applyFont="1" applyBorder="1" applyAlignment="1">
      <alignment vertical="center"/>
    </xf>
    <xf numFmtId="49" fontId="12" fillId="0" borderId="10" xfId="0" applyNumberFormat="1" applyFont="1" applyBorder="1" applyAlignment="1">
      <alignment horizontal="center" vertical="center"/>
    </xf>
    <xf numFmtId="14" fontId="16" fillId="0" borderId="1" xfId="0" applyNumberFormat="1" applyFont="1" applyBorder="1" applyAlignment="1">
      <alignment horizontal="center" vertical="center"/>
    </xf>
    <xf numFmtId="49" fontId="12" fillId="0" borderId="11" xfId="0" applyNumberFormat="1" applyFont="1" applyBorder="1" applyAlignment="1">
      <alignment vertical="center"/>
    </xf>
    <xf numFmtId="176" fontId="12" fillId="0" borderId="35" xfId="0" applyNumberFormat="1" applyFont="1" applyBorder="1" applyAlignment="1">
      <alignment horizontal="center" vertical="center"/>
    </xf>
    <xf numFmtId="176" fontId="12" fillId="0" borderId="37" xfId="0" applyNumberFormat="1" applyFont="1" applyBorder="1" applyAlignment="1">
      <alignment horizontal="center" vertical="center"/>
    </xf>
    <xf numFmtId="176" fontId="12" fillId="0" borderId="34" xfId="0" applyNumberFormat="1" applyFont="1" applyBorder="1" applyAlignment="1">
      <alignment horizontal="center" vertical="center"/>
    </xf>
    <xf numFmtId="176" fontId="12" fillId="0" borderId="36" xfId="0" applyNumberFormat="1" applyFont="1" applyBorder="1" applyAlignment="1">
      <alignment horizontal="center" vertical="center"/>
    </xf>
    <xf numFmtId="0" fontId="12" fillId="0" borderId="35" xfId="0" applyFont="1" applyBorder="1" applyAlignment="1">
      <alignment horizontal="center" vertical="center"/>
    </xf>
    <xf numFmtId="0" fontId="12" fillId="0" borderId="3" xfId="0" applyFont="1" applyBorder="1" applyAlignment="1">
      <alignment horizontal="center" vertical="center"/>
    </xf>
    <xf numFmtId="0" fontId="12" fillId="0" borderId="11" xfId="0" applyFont="1" applyBorder="1" applyAlignment="1">
      <alignment horizontal="center" vertical="center"/>
    </xf>
    <xf numFmtId="49" fontId="12" fillId="6" borderId="7" xfId="0" applyNumberFormat="1" applyFont="1" applyFill="1" applyBorder="1" applyAlignment="1">
      <alignment vertical="center"/>
    </xf>
    <xf numFmtId="49" fontId="12" fillId="6" borderId="7" xfId="0" applyNumberFormat="1" applyFont="1" applyFill="1" applyBorder="1" applyAlignment="1">
      <alignment horizontal="center" vertical="center"/>
    </xf>
    <xf numFmtId="0" fontId="12" fillId="0" borderId="15" xfId="0" applyFont="1" applyBorder="1" applyAlignment="1">
      <alignment horizontal="center" vertical="center"/>
    </xf>
    <xf numFmtId="14" fontId="18" fillId="0" borderId="26" xfId="1" applyNumberFormat="1" applyFont="1" applyBorder="1" applyAlignment="1">
      <alignment horizontal="center" vertical="center"/>
    </xf>
    <xf numFmtId="176" fontId="18" fillId="0" borderId="3" xfId="1" applyNumberFormat="1" applyFont="1" applyBorder="1" applyAlignment="1">
      <alignment horizontal="center" vertical="center"/>
    </xf>
    <xf numFmtId="0" fontId="21" fillId="0" borderId="3" xfId="1" applyFont="1" applyBorder="1" applyAlignment="1">
      <alignment horizontal="center" vertical="center" wrapText="1"/>
    </xf>
    <xf numFmtId="0" fontId="18" fillId="0" borderId="3" xfId="1" applyFont="1" applyBorder="1" applyAlignment="1">
      <alignment horizontal="left" vertical="center" wrapText="1"/>
    </xf>
    <xf numFmtId="14" fontId="18" fillId="5" borderId="3" xfId="1" applyNumberFormat="1" applyFont="1" applyFill="1" applyBorder="1" applyAlignment="1">
      <alignment horizontal="center" vertical="center" wrapText="1"/>
    </xf>
    <xf numFmtId="14" fontId="18" fillId="5" borderId="10" xfId="1" applyNumberFormat="1" applyFont="1" applyFill="1" applyBorder="1" applyAlignment="1">
      <alignment horizontal="center" vertical="center" wrapText="1"/>
    </xf>
    <xf numFmtId="14" fontId="18" fillId="0" borderId="39" xfId="1" applyNumberFormat="1" applyFont="1" applyBorder="1" applyAlignment="1">
      <alignment horizontal="center" vertical="center"/>
    </xf>
    <xf numFmtId="177" fontId="12" fillId="0" borderId="45" xfId="0" applyNumberFormat="1" applyFont="1" applyBorder="1" applyAlignment="1">
      <alignment vertical="center"/>
    </xf>
    <xf numFmtId="0" fontId="12" fillId="0" borderId="10" xfId="0" applyFont="1" applyBorder="1" applyAlignment="1">
      <alignment horizontal="center" vertical="center"/>
    </xf>
    <xf numFmtId="49" fontId="12" fillId="0" borderId="44" xfId="0" applyNumberFormat="1" applyFont="1" applyBorder="1" applyAlignment="1">
      <alignment horizontal="center" vertical="center"/>
    </xf>
    <xf numFmtId="49" fontId="12" fillId="6" borderId="1" xfId="0" applyNumberFormat="1" applyFont="1" applyFill="1" applyBorder="1" applyAlignment="1">
      <alignment vertical="center"/>
    </xf>
    <xf numFmtId="49" fontId="12" fillId="6" borderId="1" xfId="0" applyNumberFormat="1" applyFont="1" applyFill="1" applyBorder="1" applyAlignment="1">
      <alignment horizontal="center" vertical="center"/>
    </xf>
    <xf numFmtId="0" fontId="12" fillId="6" borderId="1" xfId="0" applyFont="1" applyFill="1" applyBorder="1" applyAlignment="1">
      <alignment horizontal="center" vertical="center"/>
    </xf>
    <xf numFmtId="177" fontId="12" fillId="0" borderId="19" xfId="0" applyNumberFormat="1" applyFont="1" applyBorder="1" applyAlignment="1">
      <alignment vertical="center"/>
    </xf>
    <xf numFmtId="0" fontId="18" fillId="0" borderId="10" xfId="1" applyFont="1" applyBorder="1" applyAlignment="1">
      <alignment vertical="center" wrapText="1"/>
    </xf>
    <xf numFmtId="14" fontId="18" fillId="0" borderId="48" xfId="1" applyNumberFormat="1" applyFont="1" applyBorder="1" applyAlignment="1">
      <alignment horizontal="center" vertical="center"/>
    </xf>
    <xf numFmtId="176" fontId="12" fillId="0" borderId="10" xfId="0" applyNumberFormat="1" applyFont="1" applyBorder="1" applyAlignment="1">
      <alignment horizontal="center" vertical="center"/>
    </xf>
    <xf numFmtId="49" fontId="12" fillId="6" borderId="53" xfId="0" applyNumberFormat="1" applyFont="1" applyFill="1" applyBorder="1" applyAlignment="1">
      <alignment vertical="center"/>
    </xf>
    <xf numFmtId="49" fontId="12" fillId="6" borderId="53" xfId="0" applyNumberFormat="1" applyFont="1" applyFill="1" applyBorder="1" applyAlignment="1">
      <alignment horizontal="center" vertical="center"/>
    </xf>
    <xf numFmtId="177" fontId="12" fillId="0" borderId="55" xfId="0" applyNumberFormat="1" applyFont="1" applyBorder="1" applyAlignment="1">
      <alignment vertical="center"/>
    </xf>
    <xf numFmtId="0" fontId="12" fillId="6" borderId="53" xfId="0" applyFont="1" applyFill="1" applyBorder="1" applyAlignment="1">
      <alignment horizontal="center" vertical="center"/>
    </xf>
    <xf numFmtId="177" fontId="12" fillId="0" borderId="57" xfId="0" applyNumberFormat="1" applyFont="1" applyBorder="1" applyAlignment="1">
      <alignment vertical="center"/>
    </xf>
    <xf numFmtId="0" fontId="12" fillId="0" borderId="38" xfId="0" applyFont="1" applyBorder="1" applyAlignment="1">
      <alignment horizontal="center" vertical="center"/>
    </xf>
    <xf numFmtId="49" fontId="12" fillId="6" borderId="60" xfId="0" applyNumberFormat="1" applyFont="1" applyFill="1" applyBorder="1" applyAlignment="1">
      <alignment vertical="center"/>
    </xf>
    <xf numFmtId="49" fontId="12" fillId="6" borderId="60" xfId="0" applyNumberFormat="1" applyFont="1" applyFill="1" applyBorder="1" applyAlignment="1">
      <alignment horizontal="center" vertical="center"/>
    </xf>
    <xf numFmtId="0" fontId="12" fillId="6" borderId="60" xfId="0" applyFont="1" applyFill="1" applyBorder="1" applyAlignment="1">
      <alignment horizontal="center" vertical="center"/>
    </xf>
    <xf numFmtId="177" fontId="12" fillId="0" borderId="61" xfId="0" applyNumberFormat="1" applyFont="1" applyBorder="1" applyAlignment="1">
      <alignment vertical="center"/>
    </xf>
    <xf numFmtId="176" fontId="18" fillId="0" borderId="10" xfId="1" applyNumberFormat="1" applyFont="1" applyBorder="1" applyAlignment="1">
      <alignment horizontal="center" vertical="center"/>
    </xf>
    <xf numFmtId="0" fontId="21" fillId="0" borderId="10" xfId="1" applyFont="1" applyBorder="1" applyAlignment="1">
      <alignment horizontal="center" vertical="center" wrapText="1"/>
    </xf>
    <xf numFmtId="0" fontId="18" fillId="0" borderId="10" xfId="1" applyFont="1" applyBorder="1" applyAlignment="1">
      <alignment horizontal="left" vertical="center" wrapText="1"/>
    </xf>
    <xf numFmtId="14" fontId="16" fillId="0" borderId="11" xfId="0" applyNumberFormat="1" applyFont="1" applyBorder="1" applyAlignment="1">
      <alignment horizontal="center" vertical="center"/>
    </xf>
    <xf numFmtId="49" fontId="12" fillId="6" borderId="54" xfId="0" applyNumberFormat="1" applyFont="1" applyFill="1" applyBorder="1" applyAlignment="1">
      <alignment horizontal="center" vertical="center"/>
    </xf>
    <xf numFmtId="177" fontId="12" fillId="0" borderId="56" xfId="0" applyNumberFormat="1" applyFont="1" applyBorder="1" applyAlignment="1">
      <alignment vertical="center"/>
    </xf>
    <xf numFmtId="177" fontId="12" fillId="0" borderId="62" xfId="0" applyNumberFormat="1" applyFont="1" applyBorder="1" applyAlignment="1">
      <alignment vertical="center"/>
    </xf>
    <xf numFmtId="0" fontId="12" fillId="0" borderId="63" xfId="0" applyFont="1" applyBorder="1" applyAlignment="1">
      <alignment horizontal="center" vertical="center"/>
    </xf>
    <xf numFmtId="176" fontId="12" fillId="6" borderId="53" xfId="0" applyNumberFormat="1" applyFont="1" applyFill="1" applyBorder="1" applyAlignment="1">
      <alignment horizontal="center" vertical="center"/>
    </xf>
    <xf numFmtId="0" fontId="12" fillId="0" borderId="36" xfId="0" applyFont="1" applyBorder="1" applyAlignment="1">
      <alignment horizontal="center" vertical="center"/>
    </xf>
    <xf numFmtId="0" fontId="11" fillId="3" borderId="65" xfId="0" applyFont="1" applyFill="1" applyBorder="1" applyAlignment="1">
      <alignment horizontal="center" vertical="center"/>
    </xf>
    <xf numFmtId="176" fontId="12" fillId="0" borderId="21" xfId="0" applyNumberFormat="1" applyFont="1" applyBorder="1" applyAlignment="1">
      <alignment horizontal="center" vertical="center"/>
    </xf>
    <xf numFmtId="0" fontId="12" fillId="0" borderId="48" xfId="0" applyFont="1" applyBorder="1" applyAlignment="1">
      <alignment horizontal="center" vertical="center"/>
    </xf>
    <xf numFmtId="49" fontId="12" fillId="6" borderId="10" xfId="0" applyNumberFormat="1" applyFont="1" applyFill="1" applyBorder="1" applyAlignment="1">
      <alignment vertical="center"/>
    </xf>
    <xf numFmtId="49" fontId="12" fillId="6" borderId="10" xfId="0" applyNumberFormat="1" applyFont="1" applyFill="1" applyBorder="1" applyAlignment="1">
      <alignment horizontal="center" vertical="center"/>
    </xf>
    <xf numFmtId="0" fontId="12" fillId="6" borderId="10" xfId="0" applyFont="1" applyFill="1" applyBorder="1" applyAlignment="1">
      <alignment horizontal="center" vertical="center"/>
    </xf>
    <xf numFmtId="0" fontId="12" fillId="0" borderId="39" xfId="0" applyFont="1" applyBorder="1" applyAlignment="1">
      <alignment horizontal="center" vertical="center"/>
    </xf>
    <xf numFmtId="14" fontId="18" fillId="0" borderId="10" xfId="1" applyNumberFormat="1" applyFont="1" applyBorder="1" applyAlignment="1">
      <alignment horizontal="center" vertical="center"/>
    </xf>
    <xf numFmtId="49" fontId="12" fillId="6" borderId="38" xfId="0" applyNumberFormat="1" applyFont="1" applyFill="1" applyBorder="1" applyAlignment="1">
      <alignment horizontal="center" vertical="center"/>
    </xf>
    <xf numFmtId="176" fontId="12" fillId="6" borderId="10" xfId="0" applyNumberFormat="1" applyFont="1" applyFill="1" applyBorder="1" applyAlignment="1">
      <alignment horizontal="center" vertical="center"/>
    </xf>
    <xf numFmtId="14" fontId="16" fillId="0" borderId="3" xfId="0" applyNumberFormat="1" applyFont="1" applyBorder="1" applyAlignment="1">
      <alignment horizontal="center" vertical="center"/>
    </xf>
    <xf numFmtId="176" fontId="12" fillId="0" borderId="3" xfId="0" applyNumberFormat="1" applyFont="1" applyBorder="1" applyAlignment="1">
      <alignment horizontal="center" vertical="center"/>
    </xf>
    <xf numFmtId="0" fontId="12" fillId="0" borderId="27" xfId="0" applyFont="1" applyBorder="1" applyAlignment="1">
      <alignment horizontal="center" vertical="center"/>
    </xf>
    <xf numFmtId="0" fontId="12" fillId="0" borderId="26" xfId="0" applyFont="1" applyBorder="1" applyAlignment="1">
      <alignment horizontal="center" vertical="center"/>
    </xf>
    <xf numFmtId="41" fontId="8" fillId="3" borderId="10" xfId="0" applyNumberFormat="1" applyFont="1" applyFill="1" applyBorder="1" applyAlignment="1">
      <alignment horizontal="center" vertical="center"/>
    </xf>
    <xf numFmtId="176" fontId="12" fillId="0" borderId="7" xfId="0" applyNumberFormat="1" applyFont="1" applyBorder="1" applyAlignment="1">
      <alignment horizontal="center" vertical="center"/>
    </xf>
    <xf numFmtId="0" fontId="23" fillId="0" borderId="0" xfId="0" applyFont="1" applyAlignment="1">
      <alignment horizontal="center"/>
    </xf>
    <xf numFmtId="176" fontId="12" fillId="6" borderId="1" xfId="0" applyNumberFormat="1" applyFont="1" applyFill="1" applyBorder="1" applyAlignment="1">
      <alignment horizontal="center" vertical="center"/>
    </xf>
    <xf numFmtId="0" fontId="12" fillId="6" borderId="7" xfId="0" applyFont="1" applyFill="1" applyBorder="1" applyAlignment="1">
      <alignment horizontal="center" vertical="center"/>
    </xf>
    <xf numFmtId="14" fontId="16" fillId="0" borderId="10" xfId="0" applyNumberFormat="1" applyFont="1" applyBorder="1" applyAlignment="1">
      <alignment horizontal="center" vertical="center"/>
    </xf>
    <xf numFmtId="0" fontId="12" fillId="0" borderId="7" xfId="0" applyFont="1" applyBorder="1" applyAlignment="1">
      <alignment horizontal="center" vertical="center"/>
    </xf>
    <xf numFmtId="177" fontId="12" fillId="0" borderId="20" xfId="0" applyNumberFormat="1" applyFont="1" applyBorder="1" applyAlignment="1">
      <alignment vertical="center"/>
    </xf>
    <xf numFmtId="0" fontId="18" fillId="0" borderId="21" xfId="1" applyFont="1" applyBorder="1" applyAlignment="1">
      <alignment horizontal="center" vertical="center" wrapText="1"/>
    </xf>
    <xf numFmtId="41" fontId="0" fillId="0" borderId="62" xfId="0" applyNumberFormat="1" applyBorder="1"/>
    <xf numFmtId="41" fontId="0" fillId="0" borderId="56" xfId="0" applyNumberFormat="1" applyBorder="1"/>
    <xf numFmtId="0" fontId="12" fillId="6" borderId="48" xfId="0" applyFont="1" applyFill="1" applyBorder="1" applyAlignment="1">
      <alignment horizontal="center" vertical="center"/>
    </xf>
    <xf numFmtId="0" fontId="12" fillId="6" borderId="63" xfId="0" applyFont="1" applyFill="1" applyBorder="1" applyAlignment="1">
      <alignment horizontal="center" vertical="center"/>
    </xf>
    <xf numFmtId="0" fontId="12" fillId="8" borderId="63" xfId="0" applyFont="1" applyFill="1" applyBorder="1" applyAlignment="1">
      <alignment horizontal="center" vertical="center"/>
    </xf>
    <xf numFmtId="0" fontId="12" fillId="8" borderId="48" xfId="0" applyFont="1" applyFill="1" applyBorder="1" applyAlignment="1">
      <alignment horizontal="center" vertical="center"/>
    </xf>
    <xf numFmtId="49" fontId="12" fillId="7" borderId="53" xfId="0" applyNumberFormat="1" applyFont="1" applyFill="1" applyBorder="1" applyAlignment="1">
      <alignment vertical="center"/>
    </xf>
    <xf numFmtId="14" fontId="16" fillId="7" borderId="53" xfId="0" applyNumberFormat="1" applyFont="1" applyFill="1" applyBorder="1" applyAlignment="1">
      <alignment horizontal="center" vertical="center"/>
    </xf>
    <xf numFmtId="0" fontId="12" fillId="7" borderId="53" xfId="0" applyFont="1" applyFill="1" applyBorder="1" applyAlignment="1">
      <alignment horizontal="center" vertical="center"/>
    </xf>
    <xf numFmtId="49" fontId="12" fillId="7" borderId="1" xfId="0" applyNumberFormat="1" applyFont="1" applyFill="1" applyBorder="1" applyAlignment="1">
      <alignment vertical="center"/>
    </xf>
    <xf numFmtId="14" fontId="16"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49" fontId="12" fillId="7" borderId="1" xfId="0" applyNumberFormat="1" applyFont="1" applyFill="1" applyBorder="1" applyAlignment="1">
      <alignment horizontal="center" vertical="center"/>
    </xf>
    <xf numFmtId="176" fontId="12" fillId="7" borderId="1" xfId="0" applyNumberFormat="1" applyFont="1" applyFill="1" applyBorder="1" applyAlignment="1">
      <alignment horizontal="center" vertical="center"/>
    </xf>
    <xf numFmtId="49" fontId="12" fillId="7" borderId="68" xfId="0" applyNumberFormat="1" applyFont="1" applyFill="1" applyBorder="1" applyAlignment="1">
      <alignment vertical="center"/>
    </xf>
    <xf numFmtId="14" fontId="16" fillId="7" borderId="68" xfId="0" applyNumberFormat="1" applyFont="1" applyFill="1" applyBorder="1" applyAlignment="1">
      <alignment horizontal="center" vertical="center"/>
    </xf>
    <xf numFmtId="0" fontId="12" fillId="7" borderId="68" xfId="0" applyFont="1" applyFill="1" applyBorder="1" applyAlignment="1">
      <alignment horizontal="center" vertical="center"/>
    </xf>
    <xf numFmtId="49" fontId="12" fillId="7" borderId="15" xfId="0" applyNumberFormat="1" applyFont="1" applyFill="1" applyBorder="1" applyAlignment="1">
      <alignment vertical="center"/>
    </xf>
    <xf numFmtId="14" fontId="16" fillId="7" borderId="15" xfId="0" applyNumberFormat="1" applyFont="1" applyFill="1" applyBorder="1" applyAlignment="1">
      <alignment horizontal="center" vertical="center"/>
    </xf>
    <xf numFmtId="0" fontId="12" fillId="7" borderId="15" xfId="0" applyFont="1" applyFill="1" applyBorder="1" applyAlignment="1">
      <alignment horizontal="center" vertical="center"/>
    </xf>
    <xf numFmtId="49" fontId="12" fillId="7" borderId="7" xfId="0" applyNumberFormat="1" applyFont="1" applyFill="1" applyBorder="1" applyAlignment="1">
      <alignment vertical="center"/>
    </xf>
    <xf numFmtId="14" fontId="16" fillId="7" borderId="7" xfId="0" applyNumberFormat="1" applyFont="1" applyFill="1" applyBorder="1" applyAlignment="1">
      <alignment horizontal="center" vertical="center"/>
    </xf>
    <xf numFmtId="0" fontId="12" fillId="7" borderId="7" xfId="0" applyFont="1" applyFill="1" applyBorder="1" applyAlignment="1">
      <alignment horizontal="center" vertical="center"/>
    </xf>
    <xf numFmtId="49" fontId="12" fillId="7" borderId="10" xfId="0" applyNumberFormat="1" applyFont="1" applyFill="1" applyBorder="1" applyAlignment="1">
      <alignment vertical="center"/>
    </xf>
    <xf numFmtId="14" fontId="16" fillId="7" borderId="10" xfId="0" applyNumberFormat="1" applyFont="1" applyFill="1" applyBorder="1" applyAlignment="1">
      <alignment horizontal="center" vertical="center"/>
    </xf>
    <xf numFmtId="0" fontId="12" fillId="7" borderId="10" xfId="0" applyFont="1" applyFill="1" applyBorder="1" applyAlignment="1">
      <alignment horizontal="center" vertical="center"/>
    </xf>
    <xf numFmtId="49" fontId="12" fillId="7" borderId="3" xfId="0" applyNumberFormat="1" applyFont="1" applyFill="1" applyBorder="1" applyAlignment="1">
      <alignment vertical="center"/>
    </xf>
    <xf numFmtId="14" fontId="16" fillId="7" borderId="3" xfId="0" applyNumberFormat="1" applyFont="1" applyFill="1" applyBorder="1" applyAlignment="1">
      <alignment horizontal="center" vertical="center"/>
    </xf>
    <xf numFmtId="0" fontId="12" fillId="7" borderId="3" xfId="0" applyFont="1" applyFill="1" applyBorder="1" applyAlignment="1">
      <alignment horizontal="center" vertical="center"/>
    </xf>
    <xf numFmtId="177" fontId="12" fillId="0" borderId="29" xfId="0" applyNumberFormat="1" applyFont="1" applyBorder="1" applyAlignment="1">
      <alignment vertical="center"/>
    </xf>
    <xf numFmtId="176" fontId="16" fillId="7" borderId="53" xfId="0" applyNumberFormat="1" applyFont="1" applyFill="1" applyBorder="1" applyAlignment="1">
      <alignment horizontal="center" vertical="center"/>
    </xf>
    <xf numFmtId="14" fontId="16" fillId="0" borderId="7" xfId="0" applyNumberFormat="1" applyFont="1" applyBorder="1" applyAlignment="1">
      <alignment horizontal="center" vertical="center"/>
    </xf>
    <xf numFmtId="177" fontId="16" fillId="7" borderId="71" xfId="0" applyNumberFormat="1" applyFont="1" applyFill="1" applyBorder="1" applyAlignment="1">
      <alignment horizontal="center" vertical="center"/>
    </xf>
    <xf numFmtId="0" fontId="12" fillId="8" borderId="23" xfId="0" applyFont="1" applyFill="1" applyBorder="1" applyAlignment="1">
      <alignment horizontal="center" vertical="center"/>
    </xf>
    <xf numFmtId="177" fontId="12" fillId="7" borderId="20" xfId="0" applyNumberFormat="1" applyFont="1" applyFill="1" applyBorder="1" applyAlignment="1">
      <alignment vertical="center"/>
    </xf>
    <xf numFmtId="177" fontId="12" fillId="7" borderId="24" xfId="0" applyNumberFormat="1" applyFont="1" applyFill="1" applyBorder="1" applyAlignment="1">
      <alignment vertical="center"/>
    </xf>
    <xf numFmtId="0" fontId="21" fillId="0" borderId="22" xfId="1" applyFont="1" applyBorder="1" applyAlignment="1">
      <alignment horizontal="center" vertical="center" wrapText="1"/>
    </xf>
    <xf numFmtId="0" fontId="12" fillId="8" borderId="22" xfId="0" applyFont="1" applyFill="1" applyBorder="1" applyAlignment="1">
      <alignment horizontal="center" vertical="center"/>
    </xf>
    <xf numFmtId="49" fontId="12" fillId="0" borderId="15" xfId="0" applyNumberFormat="1" applyFont="1" applyBorder="1" applyAlignment="1">
      <alignment vertical="center"/>
    </xf>
    <xf numFmtId="176" fontId="12" fillId="0" borderId="15" xfId="0" applyNumberFormat="1" applyFont="1" applyBorder="1" applyAlignment="1">
      <alignment horizontal="center" vertical="center"/>
    </xf>
    <xf numFmtId="49" fontId="12" fillId="0" borderId="15" xfId="0" applyNumberFormat="1" applyFont="1" applyBorder="1" applyAlignment="1">
      <alignment horizontal="center" vertical="center"/>
    </xf>
    <xf numFmtId="0" fontId="18" fillId="0" borderId="7" xfId="1" applyFont="1" applyBorder="1" applyAlignment="1">
      <alignment vertical="center" wrapText="1"/>
    </xf>
    <xf numFmtId="177" fontId="12" fillId="0" borderId="1" xfId="0" applyNumberFormat="1" applyFont="1" applyBorder="1" applyAlignment="1">
      <alignment vertical="center"/>
    </xf>
    <xf numFmtId="0" fontId="12" fillId="6" borderId="23" xfId="0" applyFont="1" applyFill="1" applyBorder="1" applyAlignment="1">
      <alignment horizontal="center" vertical="center"/>
    </xf>
    <xf numFmtId="0" fontId="12" fillId="8" borderId="2" xfId="0" applyFont="1" applyFill="1" applyBorder="1" applyAlignment="1">
      <alignment horizontal="center" vertical="center"/>
    </xf>
    <xf numFmtId="14" fontId="18" fillId="0" borderId="11" xfId="1" applyNumberFormat="1" applyFont="1" applyBorder="1" applyAlignment="1">
      <alignment horizontal="center" vertical="center"/>
    </xf>
    <xf numFmtId="176" fontId="18" fillId="0" borderId="11" xfId="1" applyNumberFormat="1" applyFont="1" applyBorder="1" applyAlignment="1">
      <alignment horizontal="center" vertical="center"/>
    </xf>
    <xf numFmtId="0" fontId="18" fillId="0" borderId="11" xfId="1" applyFont="1" applyBorder="1" applyAlignment="1">
      <alignment horizontal="left" vertical="center" wrapText="1"/>
    </xf>
    <xf numFmtId="49" fontId="12" fillId="0" borderId="11" xfId="0" applyNumberFormat="1" applyFont="1" applyBorder="1" applyAlignment="1">
      <alignment horizontal="center" vertical="center"/>
    </xf>
    <xf numFmtId="176" fontId="12" fillId="0" borderId="11" xfId="0" applyNumberFormat="1" applyFont="1" applyBorder="1" applyAlignment="1">
      <alignment horizontal="center" vertical="center"/>
    </xf>
    <xf numFmtId="0" fontId="18" fillId="0" borderId="17" xfId="1" applyFont="1" applyBorder="1" applyAlignment="1">
      <alignment horizontal="center" vertical="center" wrapText="1"/>
    </xf>
    <xf numFmtId="0" fontId="18" fillId="0" borderId="11" xfId="1" applyFont="1" applyBorder="1" applyAlignment="1">
      <alignment vertical="center" wrapText="1"/>
    </xf>
    <xf numFmtId="49" fontId="12" fillId="0" borderId="17" xfId="0" applyNumberFormat="1" applyFont="1" applyBorder="1" applyAlignment="1">
      <alignment vertical="center"/>
    </xf>
    <xf numFmtId="14" fontId="16" fillId="0" borderId="17" xfId="0" applyNumberFormat="1" applyFont="1" applyBorder="1" applyAlignment="1">
      <alignment horizontal="center" vertical="center"/>
    </xf>
    <xf numFmtId="176" fontId="12" fillId="0" borderId="17" xfId="0" applyNumberFormat="1" applyFont="1" applyBorder="1" applyAlignment="1">
      <alignment horizontal="center" vertical="center"/>
    </xf>
    <xf numFmtId="0" fontId="18" fillId="0" borderId="21" xfId="1" applyFont="1" applyBorder="1" applyAlignment="1">
      <alignment vertical="center" wrapText="1"/>
    </xf>
    <xf numFmtId="14" fontId="18" fillId="0" borderId="24" xfId="1" applyNumberFormat="1" applyFont="1" applyBorder="1" applyAlignment="1">
      <alignment horizontal="center" vertical="center"/>
    </xf>
    <xf numFmtId="0" fontId="12" fillId="6" borderId="41" xfId="0" applyFont="1" applyFill="1" applyBorder="1" applyAlignment="1">
      <alignment horizontal="center" vertical="center"/>
    </xf>
    <xf numFmtId="0" fontId="12" fillId="8" borderId="21" xfId="0" applyFont="1" applyFill="1" applyBorder="1" applyAlignment="1">
      <alignment horizontal="center" vertical="center"/>
    </xf>
    <xf numFmtId="177" fontId="12" fillId="0" borderId="3" xfId="0" applyNumberFormat="1" applyFont="1" applyBorder="1" applyAlignment="1">
      <alignment vertical="center"/>
    </xf>
    <xf numFmtId="177" fontId="12" fillId="7" borderId="19" xfId="0" applyNumberFormat="1" applyFont="1" applyFill="1" applyBorder="1" applyAlignment="1">
      <alignment vertical="center"/>
    </xf>
    <xf numFmtId="177" fontId="12" fillId="7" borderId="4" xfId="0" applyNumberFormat="1" applyFont="1" applyFill="1" applyBorder="1" applyAlignment="1">
      <alignment vertical="center"/>
    </xf>
    <xf numFmtId="177" fontId="12" fillId="7" borderId="6" xfId="0" applyNumberFormat="1" applyFont="1" applyFill="1" applyBorder="1" applyAlignment="1">
      <alignment vertical="center"/>
    </xf>
    <xf numFmtId="14" fontId="18" fillId="0" borderId="27" xfId="1" applyNumberFormat="1" applyFont="1" applyBorder="1" applyAlignment="1">
      <alignment horizontal="center" vertical="center"/>
    </xf>
    <xf numFmtId="0" fontId="11" fillId="3" borderId="23" xfId="0" applyFont="1" applyFill="1" applyBorder="1" applyAlignment="1">
      <alignment horizontal="center" vertical="center"/>
    </xf>
    <xf numFmtId="0" fontId="11" fillId="3" borderId="48" xfId="0" applyFont="1" applyFill="1" applyBorder="1" applyAlignment="1">
      <alignment horizontal="center" vertical="center"/>
    </xf>
    <xf numFmtId="14" fontId="8" fillId="3" borderId="21" xfId="0" applyNumberFormat="1" applyFont="1" applyFill="1" applyBorder="1" applyAlignment="1">
      <alignment horizontal="center" vertical="center"/>
    </xf>
    <xf numFmtId="0" fontId="8" fillId="3" borderId="21" xfId="0" applyFont="1" applyFill="1" applyBorder="1" applyAlignment="1">
      <alignment horizontal="center" vertical="center"/>
    </xf>
    <xf numFmtId="0" fontId="11" fillId="3" borderId="21" xfId="0" applyFont="1" applyFill="1" applyBorder="1" applyAlignment="1">
      <alignment horizontal="center" vertical="center"/>
    </xf>
    <xf numFmtId="41" fontId="8" fillId="3" borderId="24" xfId="0" applyNumberFormat="1" applyFont="1" applyFill="1" applyBorder="1" applyAlignment="1">
      <alignment horizontal="center" vertical="center"/>
    </xf>
    <xf numFmtId="177" fontId="12" fillId="0" borderId="19" xfId="0" applyNumberFormat="1" applyFont="1" applyBorder="1" applyAlignment="1">
      <alignment horizontal="center" vertical="center"/>
    </xf>
    <xf numFmtId="49" fontId="12" fillId="0" borderId="3" xfId="0" applyNumberFormat="1" applyFont="1" applyBorder="1" applyAlignment="1">
      <alignment horizontal="left" vertical="center"/>
    </xf>
    <xf numFmtId="177" fontId="12" fillId="0" borderId="20"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12" fillId="7" borderId="1" xfId="0" applyNumberFormat="1" applyFont="1" applyFill="1" applyBorder="1" applyAlignment="1">
      <alignment horizontal="left" vertical="center"/>
    </xf>
    <xf numFmtId="49" fontId="12" fillId="7" borderId="1" xfId="0" applyNumberFormat="1" applyFont="1" applyFill="1" applyBorder="1" applyAlignment="1">
      <alignment horizontal="left" vertical="center" wrapText="1"/>
    </xf>
    <xf numFmtId="177" fontId="12" fillId="7" borderId="6" xfId="0" applyNumberFormat="1" applyFont="1" applyFill="1" applyBorder="1" applyAlignment="1">
      <alignment horizontal="center" vertical="center"/>
    </xf>
    <xf numFmtId="0" fontId="11" fillId="3" borderId="14" xfId="0" applyFont="1" applyFill="1" applyBorder="1" applyAlignment="1">
      <alignment horizontal="center" vertical="center"/>
    </xf>
    <xf numFmtId="0" fontId="11" fillId="3" borderId="46" xfId="0" applyFont="1" applyFill="1" applyBorder="1" applyAlignment="1">
      <alignment horizontal="center" vertical="center"/>
    </xf>
    <xf numFmtId="14" fontId="8" fillId="3" borderId="15"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11" fillId="3" borderId="15" xfId="0" applyFont="1" applyFill="1" applyBorder="1" applyAlignment="1">
      <alignment horizontal="center" vertical="center"/>
    </xf>
    <xf numFmtId="41" fontId="8" fillId="3" borderId="45" xfId="0" applyNumberFormat="1" applyFont="1" applyFill="1" applyBorder="1" applyAlignment="1">
      <alignment horizontal="center" vertical="center"/>
    </xf>
    <xf numFmtId="0" fontId="12" fillId="8" borderId="5" xfId="0" applyFont="1" applyFill="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6" borderId="5" xfId="0" applyFont="1" applyFill="1" applyBorder="1" applyAlignment="1">
      <alignment horizontal="center" vertical="center"/>
    </xf>
    <xf numFmtId="0" fontId="12" fillId="8" borderId="1" xfId="0" applyFont="1" applyFill="1" applyBorder="1" applyAlignment="1">
      <alignment horizontal="center" vertical="center"/>
    </xf>
    <xf numFmtId="0" fontId="18" fillId="0" borderId="1" xfId="1" applyFont="1" applyBorder="1" applyAlignment="1">
      <alignment horizontal="center" vertical="center" wrapText="1"/>
    </xf>
    <xf numFmtId="0" fontId="12" fillId="0" borderId="78" xfId="0" applyFont="1" applyBorder="1" applyAlignment="1">
      <alignment horizontal="center" vertical="center"/>
    </xf>
    <xf numFmtId="0" fontId="12" fillId="0" borderId="47" xfId="0" applyFont="1" applyBorder="1" applyAlignment="1">
      <alignment horizontal="center" vertical="center"/>
    </xf>
    <xf numFmtId="0" fontId="12" fillId="8" borderId="12" xfId="0" applyFont="1" applyFill="1" applyBorder="1" applyAlignment="1">
      <alignment horizontal="center" vertical="center"/>
    </xf>
    <xf numFmtId="0" fontId="12" fillId="8" borderId="10" xfId="0" applyFont="1" applyFill="1" applyBorder="1" applyAlignment="1">
      <alignment horizontal="center" vertical="center"/>
    </xf>
    <xf numFmtId="14" fontId="21" fillId="0" borderId="1" xfId="1" applyNumberFormat="1" applyFont="1" applyBorder="1" applyAlignment="1">
      <alignment horizontal="center" vertical="center" wrapText="1"/>
    </xf>
    <xf numFmtId="0" fontId="18" fillId="0" borderId="10" xfId="1" applyFont="1" applyBorder="1" applyAlignment="1">
      <alignment horizontal="center" vertical="center" wrapText="1"/>
    </xf>
    <xf numFmtId="14" fontId="21" fillId="0" borderId="10" xfId="1" applyNumberFormat="1" applyFont="1" applyBorder="1" applyAlignment="1">
      <alignment horizontal="center" vertical="center"/>
    </xf>
    <xf numFmtId="0" fontId="8" fillId="0" borderId="0" xfId="0" applyFont="1" applyAlignment="1">
      <alignment vertical="center"/>
    </xf>
    <xf numFmtId="0" fontId="12" fillId="6" borderId="11" xfId="0" applyFont="1" applyFill="1" applyBorder="1" applyAlignment="1">
      <alignment horizontal="center" vertical="center"/>
    </xf>
    <xf numFmtId="177" fontId="21" fillId="0" borderId="6" xfId="0" applyNumberFormat="1" applyFont="1" applyBorder="1" applyAlignment="1">
      <alignment vertical="center"/>
    </xf>
    <xf numFmtId="0" fontId="12" fillId="6" borderId="13" xfId="0" applyFont="1" applyFill="1" applyBorder="1" applyAlignment="1">
      <alignment horizontal="center" vertical="center"/>
    </xf>
    <xf numFmtId="176" fontId="21" fillId="5" borderId="1" xfId="1" applyNumberFormat="1" applyFont="1" applyFill="1" applyBorder="1" applyAlignment="1">
      <alignment horizontal="center" vertical="center"/>
    </xf>
    <xf numFmtId="49" fontId="12" fillId="0" borderId="11" xfId="0" applyNumberFormat="1" applyFont="1" applyBorder="1" applyAlignment="1">
      <alignment horizontal="left" vertical="center"/>
    </xf>
    <xf numFmtId="0" fontId="12" fillId="6" borderId="27" xfId="0" applyFont="1" applyFill="1" applyBorder="1" applyAlignment="1">
      <alignment horizontal="center" vertical="center"/>
    </xf>
    <xf numFmtId="14" fontId="21" fillId="0" borderId="1" xfId="1" applyNumberFormat="1" applyFont="1" applyBorder="1" applyAlignment="1">
      <alignment horizontal="center" vertical="center"/>
    </xf>
    <xf numFmtId="0" fontId="21" fillId="0" borderId="1" xfId="1" applyFont="1" applyBorder="1" applyAlignment="1">
      <alignment vertical="center" wrapText="1"/>
    </xf>
    <xf numFmtId="0" fontId="12" fillId="8" borderId="1" xfId="0" applyFont="1" applyFill="1" applyBorder="1" applyAlignment="1">
      <alignment horizontal="center" vertical="center" wrapText="1"/>
    </xf>
    <xf numFmtId="176" fontId="21" fillId="0" borderId="1" xfId="1" applyNumberFormat="1" applyFont="1" applyBorder="1" applyAlignment="1">
      <alignment horizontal="center" vertical="center" wrapText="1"/>
    </xf>
    <xf numFmtId="0" fontId="23" fillId="0" borderId="0" xfId="0" applyFont="1" applyAlignment="1">
      <alignment horizontal="left"/>
    </xf>
    <xf numFmtId="49" fontId="12" fillId="0" borderId="27"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11" fillId="3" borderId="36" xfId="0" applyFont="1" applyFill="1" applyBorder="1" applyAlignment="1">
      <alignment horizontal="center" vertical="center"/>
    </xf>
    <xf numFmtId="49" fontId="12" fillId="0" borderId="3"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0" fontId="12" fillId="8" borderId="36" xfId="0" applyFont="1" applyFill="1" applyBorder="1" applyAlignment="1">
      <alignment horizontal="center" vertical="center" wrapText="1"/>
    </xf>
    <xf numFmtId="49" fontId="12" fillId="7" borderId="40" xfId="0" applyNumberFormat="1" applyFont="1" applyFill="1" applyBorder="1" applyAlignment="1">
      <alignment horizontal="center" vertical="center"/>
    </xf>
    <xf numFmtId="0" fontId="23" fillId="0" borderId="0" xfId="0" applyFont="1"/>
    <xf numFmtId="0" fontId="12" fillId="0" borderId="13" xfId="0" applyFont="1" applyBorder="1" applyAlignment="1">
      <alignment horizontal="center" vertical="center"/>
    </xf>
    <xf numFmtId="0" fontId="31" fillId="9" borderId="1" xfId="2" applyFont="1" applyFill="1" applyBorder="1" applyAlignment="1">
      <alignment horizontal="center" vertical="center" wrapText="1"/>
    </xf>
    <xf numFmtId="176" fontId="18" fillId="0" borderId="11" xfId="1" applyNumberFormat="1" applyFont="1" applyBorder="1" applyAlignment="1">
      <alignment horizontal="center" vertical="center" wrapText="1"/>
    </xf>
    <xf numFmtId="176" fontId="18" fillId="0" borderId="11" xfId="1" applyNumberFormat="1" applyFont="1" applyBorder="1" applyAlignment="1">
      <alignment horizontal="left" vertical="center" wrapText="1"/>
    </xf>
    <xf numFmtId="176" fontId="18" fillId="0" borderId="1" xfId="1" applyNumberFormat="1" applyFont="1" applyBorder="1" applyAlignment="1">
      <alignment horizontal="center" vertical="center" wrapText="1"/>
    </xf>
    <xf numFmtId="176" fontId="18" fillId="0" borderId="1" xfId="1" applyNumberFormat="1" applyFont="1" applyBorder="1" applyAlignment="1">
      <alignment horizontal="left" vertical="center" wrapText="1"/>
    </xf>
    <xf numFmtId="49" fontId="12" fillId="7" borderId="7" xfId="0" applyNumberFormat="1" applyFont="1" applyFill="1" applyBorder="1" applyAlignment="1">
      <alignment horizontal="center" vertical="center"/>
    </xf>
    <xf numFmtId="177" fontId="12" fillId="7" borderId="9" xfId="0" applyNumberFormat="1" applyFont="1" applyFill="1" applyBorder="1" applyAlignment="1">
      <alignment vertical="center"/>
    </xf>
    <xf numFmtId="0" fontId="31" fillId="10" borderId="1" xfId="2" applyFont="1" applyFill="1" applyBorder="1" applyAlignment="1">
      <alignment horizontal="center" vertical="center" wrapText="1"/>
    </xf>
    <xf numFmtId="0" fontId="32" fillId="11" borderId="1" xfId="2" applyFont="1" applyFill="1" applyBorder="1" applyAlignment="1">
      <alignment horizontal="center" vertical="center" wrapText="1"/>
    </xf>
    <xf numFmtId="41" fontId="8" fillId="3" borderId="1" xfId="0" applyNumberFormat="1" applyFont="1" applyFill="1" applyBorder="1" applyAlignment="1">
      <alignment horizontal="center" vertical="center"/>
    </xf>
    <xf numFmtId="0" fontId="21" fillId="0" borderId="1" xfId="1" applyFont="1" applyBorder="1" applyAlignment="1">
      <alignment horizontal="left" vertical="center" wrapText="1"/>
    </xf>
    <xf numFmtId="0" fontId="21" fillId="0" borderId="1" xfId="1" applyFont="1" applyBorder="1" applyAlignment="1">
      <alignment horizontal="center" vertical="center" wrapText="1"/>
    </xf>
    <xf numFmtId="176" fontId="18" fillId="0" borderId="1" xfId="1" applyNumberFormat="1" applyFont="1" applyBorder="1" applyAlignment="1">
      <alignment horizontal="center" vertical="center"/>
    </xf>
    <xf numFmtId="0" fontId="12" fillId="0" borderId="1" xfId="0" applyFont="1" applyBorder="1" applyAlignment="1">
      <alignment horizontal="center" vertical="center"/>
    </xf>
    <xf numFmtId="14" fontId="18" fillId="0" borderId="1" xfId="1" applyNumberFormat="1" applyFont="1" applyBorder="1" applyAlignment="1">
      <alignment horizontal="center" vertical="center"/>
    </xf>
    <xf numFmtId="0" fontId="18" fillId="0" borderId="1" xfId="1" applyFont="1" applyBorder="1" applyAlignment="1">
      <alignment horizontal="left" vertical="center" wrapText="1"/>
    </xf>
    <xf numFmtId="0" fontId="9" fillId="0" borderId="72" xfId="0" applyFont="1" applyBorder="1" applyAlignment="1">
      <alignment horizontal="center" vertical="center"/>
    </xf>
    <xf numFmtId="0" fontId="9" fillId="0" borderId="67" xfId="0" applyFont="1" applyBorder="1" applyAlignment="1">
      <alignment horizontal="center" vertical="center"/>
    </xf>
    <xf numFmtId="0" fontId="9" fillId="0" borderId="73"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49" fontId="12" fillId="7" borderId="7" xfId="0" applyNumberFormat="1" applyFont="1" applyFill="1" applyBorder="1" applyAlignment="1">
      <alignment horizontal="center" vertical="center"/>
    </xf>
    <xf numFmtId="0" fontId="12" fillId="0" borderId="5" xfId="0" applyFont="1" applyBorder="1" applyAlignment="1">
      <alignment horizontal="center" vertical="center"/>
    </xf>
    <xf numFmtId="0" fontId="9" fillId="0" borderId="5"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0" fillId="0" borderId="6" xfId="0" applyFont="1" applyBorder="1" applyAlignment="1">
      <alignment horizontal="center" vertical="center"/>
    </xf>
    <xf numFmtId="176" fontId="18" fillId="0" borderId="1" xfId="1" applyNumberFormat="1" applyFont="1" applyBorder="1" applyAlignment="1">
      <alignment horizontal="center" vertical="center" wrapText="1"/>
    </xf>
    <xf numFmtId="176" fontId="18" fillId="0" borderId="1" xfId="1" applyNumberFormat="1" applyFont="1" applyBorder="1" applyAlignment="1">
      <alignment horizontal="left" vertical="center" wrapText="1"/>
    </xf>
    <xf numFmtId="0" fontId="10" fillId="0" borderId="67" xfId="0" applyFont="1" applyBorder="1" applyAlignment="1">
      <alignment horizontal="center" vertical="center"/>
    </xf>
    <xf numFmtId="0" fontId="10" fillId="0" borderId="73" xfId="0" applyFont="1" applyBorder="1" applyAlignment="1">
      <alignment horizontal="center" vertical="center"/>
    </xf>
    <xf numFmtId="0" fontId="18" fillId="0" borderId="1" xfId="1" applyFont="1" applyBorder="1" applyAlignment="1">
      <alignment vertical="center" wrapText="1"/>
    </xf>
    <xf numFmtId="49" fontId="12" fillId="7" borderId="74" xfId="0" applyNumberFormat="1" applyFont="1" applyFill="1" applyBorder="1" applyAlignment="1">
      <alignment horizontal="center" vertical="center"/>
    </xf>
    <xf numFmtId="49" fontId="12" fillId="7" borderId="40" xfId="0" applyNumberFormat="1" applyFont="1" applyFill="1" applyBorder="1" applyAlignment="1">
      <alignment horizontal="center" vertical="center"/>
    </xf>
    <xf numFmtId="49" fontId="12" fillId="7" borderId="41" xfId="0" applyNumberFormat="1" applyFont="1" applyFill="1" applyBorder="1" applyAlignment="1">
      <alignment horizontal="center" vertical="center"/>
    </xf>
    <xf numFmtId="0" fontId="12" fillId="0" borderId="12" xfId="0" applyFont="1" applyBorder="1" applyAlignment="1">
      <alignment horizontal="center" vertical="center"/>
    </xf>
    <xf numFmtId="0" fontId="12" fillId="0" borderId="14" xfId="0" applyFont="1" applyBorder="1" applyAlignment="1">
      <alignment horizontal="center" vertical="center"/>
    </xf>
    <xf numFmtId="14" fontId="18" fillId="0" borderId="10" xfId="1" applyNumberFormat="1" applyFont="1" applyBorder="1" applyAlignment="1">
      <alignment horizontal="left" vertical="center" wrapText="1"/>
    </xf>
    <xf numFmtId="14" fontId="18" fillId="0" borderId="11" xfId="1" applyNumberFormat="1" applyFont="1" applyBorder="1" applyAlignment="1">
      <alignment horizontal="left" vertical="center" wrapText="1"/>
    </xf>
    <xf numFmtId="14" fontId="18" fillId="0" borderId="10" xfId="1" applyNumberFormat="1" applyFont="1" applyBorder="1" applyAlignment="1">
      <alignment vertical="center" wrapText="1"/>
    </xf>
    <xf numFmtId="14" fontId="18" fillId="0" borderId="11" xfId="1" applyNumberFormat="1" applyFont="1" applyBorder="1" applyAlignment="1">
      <alignment vertical="center" wrapText="1"/>
    </xf>
    <xf numFmtId="0" fontId="12" fillId="0" borderId="13" xfId="0" applyFont="1" applyBorder="1" applyAlignment="1">
      <alignment horizontal="center" vertical="center"/>
    </xf>
    <xf numFmtId="14" fontId="18" fillId="0" borderId="10" xfId="1" applyNumberFormat="1" applyFont="1" applyBorder="1" applyAlignment="1">
      <alignment horizontal="center" vertical="center"/>
    </xf>
    <xf numFmtId="14" fontId="18" fillId="0" borderId="11" xfId="1" applyNumberFormat="1" applyFont="1" applyBorder="1" applyAlignment="1">
      <alignment horizontal="center" vertical="center"/>
    </xf>
    <xf numFmtId="176" fontId="18" fillId="0" borderId="10" xfId="1" applyNumberFormat="1" applyFont="1" applyBorder="1" applyAlignment="1">
      <alignment horizontal="center" vertical="center"/>
    </xf>
    <xf numFmtId="176" fontId="18" fillId="0" borderId="11" xfId="1" applyNumberFormat="1" applyFont="1" applyBorder="1" applyAlignment="1">
      <alignment horizontal="center" vertical="center"/>
    </xf>
    <xf numFmtId="14" fontId="18" fillId="0" borderId="10" xfId="1" applyNumberFormat="1" applyFont="1" applyBorder="1" applyAlignment="1">
      <alignment horizontal="center" vertical="center" wrapText="1"/>
    </xf>
    <xf numFmtId="14" fontId="18" fillId="0" borderId="11" xfId="1" applyNumberFormat="1" applyFont="1" applyBorder="1" applyAlignment="1">
      <alignment horizontal="center" vertical="center" wrapText="1"/>
    </xf>
    <xf numFmtId="14" fontId="18" fillId="0" borderId="15" xfId="1" applyNumberFormat="1" applyFont="1" applyBorder="1" applyAlignment="1">
      <alignment horizontal="center" vertical="center"/>
    </xf>
    <xf numFmtId="176" fontId="18" fillId="0" borderId="15" xfId="1" applyNumberFormat="1" applyFont="1" applyBorder="1" applyAlignment="1">
      <alignment horizontal="center" vertical="center"/>
    </xf>
    <xf numFmtId="176" fontId="18" fillId="0" borderId="10" xfId="1" applyNumberFormat="1" applyFont="1" applyBorder="1" applyAlignment="1">
      <alignment horizontal="center" vertical="center" wrapText="1"/>
    </xf>
    <xf numFmtId="176" fontId="18" fillId="0" borderId="15" xfId="1" applyNumberFormat="1" applyFont="1" applyBorder="1" applyAlignment="1">
      <alignment horizontal="center" vertical="center" wrapText="1"/>
    </xf>
    <xf numFmtId="176" fontId="18" fillId="0" borderId="11" xfId="1" applyNumberFormat="1" applyFont="1" applyBorder="1" applyAlignment="1">
      <alignment horizontal="center" vertical="center" wrapText="1"/>
    </xf>
    <xf numFmtId="176" fontId="18" fillId="0" borderId="10" xfId="1" applyNumberFormat="1" applyFont="1" applyBorder="1" applyAlignment="1">
      <alignment horizontal="left" vertical="center" wrapText="1"/>
    </xf>
    <xf numFmtId="176" fontId="18" fillId="0" borderId="15" xfId="1" applyNumberFormat="1" applyFont="1" applyBorder="1" applyAlignment="1">
      <alignment horizontal="left" vertical="center" wrapText="1"/>
    </xf>
    <xf numFmtId="176" fontId="18" fillId="0" borderId="11" xfId="1" applyNumberFormat="1" applyFont="1" applyBorder="1" applyAlignment="1">
      <alignment horizontal="left" vertical="center" wrapText="1"/>
    </xf>
    <xf numFmtId="14" fontId="21" fillId="0" borderId="1" xfId="1" applyNumberFormat="1" applyFont="1" applyBorder="1" applyAlignment="1">
      <alignment horizontal="center" vertical="center"/>
    </xf>
    <xf numFmtId="176" fontId="21" fillId="0" borderId="1" xfId="1" applyNumberFormat="1" applyFont="1" applyBorder="1" applyAlignment="1">
      <alignment horizontal="center" vertical="center"/>
    </xf>
    <xf numFmtId="176" fontId="21" fillId="0" borderId="1" xfId="1" applyNumberFormat="1" applyFont="1" applyBorder="1" applyAlignment="1">
      <alignment horizontal="center" vertical="center" wrapText="1"/>
    </xf>
    <xf numFmtId="0" fontId="21" fillId="0" borderId="1" xfId="1" applyFont="1" applyBorder="1" applyAlignment="1">
      <alignment vertical="center" wrapText="1"/>
    </xf>
    <xf numFmtId="14" fontId="18" fillId="0" borderId="1" xfId="1" applyNumberFormat="1" applyFont="1" applyBorder="1" applyAlignment="1">
      <alignment horizontal="center" vertical="center" wrapText="1"/>
    </xf>
    <xf numFmtId="14" fontId="18" fillId="0" borderId="1" xfId="1" applyNumberFormat="1" applyFont="1" applyBorder="1" applyAlignment="1">
      <alignment vertical="center" wrapText="1"/>
    </xf>
    <xf numFmtId="0" fontId="18" fillId="0" borderId="3" xfId="1" applyFont="1" applyBorder="1" applyAlignment="1">
      <alignment horizontal="left" vertical="center" wrapText="1"/>
    </xf>
    <xf numFmtId="0" fontId="18" fillId="0" borderId="7" xfId="1" applyFont="1" applyBorder="1" applyAlignment="1">
      <alignment horizontal="left" vertical="center" wrapText="1"/>
    </xf>
    <xf numFmtId="14" fontId="18" fillId="0" borderId="3" xfId="1" applyNumberFormat="1" applyFont="1" applyBorder="1" applyAlignment="1">
      <alignment horizontal="center" vertical="center"/>
    </xf>
    <xf numFmtId="14" fontId="18" fillId="0" borderId="7" xfId="1" applyNumberFormat="1" applyFont="1" applyBorder="1" applyAlignment="1">
      <alignment horizontal="center" vertical="center"/>
    </xf>
    <xf numFmtId="0" fontId="12" fillId="8" borderId="12"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13" xfId="0" applyFont="1" applyFill="1" applyBorder="1" applyAlignment="1">
      <alignment horizontal="center" vertical="center"/>
    </xf>
    <xf numFmtId="0" fontId="21" fillId="0" borderId="3" xfId="1" applyFont="1" applyBorder="1" applyAlignment="1">
      <alignment horizontal="left" vertical="center" wrapText="1"/>
    </xf>
    <xf numFmtId="0" fontId="21" fillId="0" borderId="7" xfId="1" applyFont="1" applyBorder="1" applyAlignment="1">
      <alignment horizontal="left" vertical="center" wrapText="1"/>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2" fillId="6" borderId="13" xfId="0" applyFont="1" applyFill="1" applyBorder="1" applyAlignment="1">
      <alignment horizontal="center" vertical="center"/>
    </xf>
    <xf numFmtId="14" fontId="18" fillId="0" borderId="2" xfId="1" applyNumberFormat="1" applyFont="1" applyBorder="1" applyAlignment="1">
      <alignment horizontal="center" vertical="center"/>
    </xf>
    <xf numFmtId="14" fontId="18" fillId="0" borderId="5" xfId="1" applyNumberFormat="1" applyFont="1" applyBorder="1" applyAlignment="1">
      <alignment horizontal="center" vertical="center"/>
    </xf>
    <xf numFmtId="14" fontId="18" fillId="0" borderId="8" xfId="1" applyNumberFormat="1" applyFont="1" applyBorder="1" applyAlignment="1">
      <alignment horizontal="center" vertical="center"/>
    </xf>
    <xf numFmtId="176" fontId="18" fillId="0" borderId="3" xfId="1" applyNumberFormat="1" applyFont="1" applyBorder="1" applyAlignment="1">
      <alignment horizontal="center" vertical="center"/>
    </xf>
    <xf numFmtId="176" fontId="18" fillId="0" borderId="7" xfId="1" applyNumberFormat="1" applyFont="1" applyBorder="1" applyAlignment="1">
      <alignment horizontal="center" vertical="center"/>
    </xf>
    <xf numFmtId="0" fontId="21" fillId="0" borderId="3" xfId="1" applyFont="1" applyBorder="1" applyAlignment="1">
      <alignment horizontal="center" vertical="center" wrapText="1"/>
    </xf>
    <xf numFmtId="0" fontId="21" fillId="0" borderId="7" xfId="1" applyFont="1" applyBorder="1" applyAlignment="1">
      <alignment horizontal="center" vertical="center" wrapText="1"/>
    </xf>
    <xf numFmtId="0" fontId="12" fillId="8" borderId="1" xfId="0" applyFont="1" applyFill="1" applyBorder="1" applyAlignment="1">
      <alignment horizontal="center" vertical="center" wrapText="1"/>
    </xf>
    <xf numFmtId="0" fontId="12" fillId="6" borderId="5" xfId="0" applyFont="1" applyFill="1" applyBorder="1" applyAlignment="1">
      <alignment horizontal="center" vertical="center"/>
    </xf>
    <xf numFmtId="0" fontId="12" fillId="8" borderId="5" xfId="0" applyFont="1" applyFill="1" applyBorder="1" applyAlignment="1">
      <alignment horizontal="center" vertical="center"/>
    </xf>
    <xf numFmtId="0" fontId="9" fillId="0" borderId="77"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0" fontId="9" fillId="0" borderId="85" xfId="0" applyFont="1" applyBorder="1" applyAlignment="1">
      <alignment horizontal="center" vertical="center"/>
    </xf>
    <xf numFmtId="0" fontId="9" fillId="0" borderId="83" xfId="0" applyFont="1" applyBorder="1" applyAlignment="1">
      <alignment horizontal="center" vertical="center"/>
    </xf>
    <xf numFmtId="0" fontId="10" fillId="0" borderId="83" xfId="0" applyFont="1" applyBorder="1" applyAlignment="1">
      <alignment horizontal="center" vertical="center"/>
    </xf>
    <xf numFmtId="0" fontId="10" fillId="0" borderId="86" xfId="0" applyFont="1" applyBorder="1" applyAlignment="1">
      <alignment horizontal="center" vertical="center"/>
    </xf>
    <xf numFmtId="0" fontId="12" fillId="8" borderId="10"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21" fillId="0" borderId="10" xfId="1" applyFont="1" applyBorder="1" applyAlignment="1">
      <alignment horizontal="center" vertical="center" wrapText="1"/>
    </xf>
    <xf numFmtId="0" fontId="21" fillId="0" borderId="11" xfId="1" applyFont="1" applyBorder="1" applyAlignment="1">
      <alignment horizontal="center" vertical="center" wrapText="1"/>
    </xf>
    <xf numFmtId="0" fontId="18" fillId="0" borderId="10" xfId="1" applyFont="1" applyBorder="1" applyAlignment="1">
      <alignment horizontal="center" vertical="center" wrapText="1"/>
    </xf>
    <xf numFmtId="0" fontId="18" fillId="0" borderId="11" xfId="1" applyFont="1" applyBorder="1" applyAlignment="1">
      <alignment horizontal="center" vertical="center" wrapText="1"/>
    </xf>
    <xf numFmtId="14" fontId="21" fillId="0" borderId="10" xfId="1" applyNumberFormat="1" applyFont="1" applyBorder="1" applyAlignment="1">
      <alignment horizontal="center" vertical="center"/>
    </xf>
    <xf numFmtId="14" fontId="21" fillId="0" borderId="11" xfId="1" applyNumberFormat="1" applyFont="1" applyBorder="1" applyAlignment="1">
      <alignment horizontal="center" vertical="center"/>
    </xf>
    <xf numFmtId="0" fontId="21" fillId="0" borderId="10" xfId="1" applyFont="1" applyBorder="1" applyAlignment="1">
      <alignment horizontal="left" vertical="center" wrapText="1"/>
    </xf>
    <xf numFmtId="0" fontId="21" fillId="0" borderId="11" xfId="1" applyFont="1" applyBorder="1" applyAlignment="1">
      <alignment horizontal="left" vertical="center" wrapText="1"/>
    </xf>
    <xf numFmtId="176" fontId="21" fillId="0" borderId="10" xfId="1" applyNumberFormat="1" applyFont="1" applyBorder="1" applyAlignment="1">
      <alignment horizontal="center" vertical="center"/>
    </xf>
    <xf numFmtId="176" fontId="21" fillId="0" borderId="11" xfId="1" applyNumberFormat="1" applyFont="1" applyBorder="1" applyAlignment="1">
      <alignment horizontal="center" vertical="center"/>
    </xf>
    <xf numFmtId="14" fontId="21" fillId="0" borderId="15" xfId="1" applyNumberFormat="1" applyFont="1" applyBorder="1" applyAlignment="1">
      <alignment horizontal="center" vertical="center"/>
    </xf>
    <xf numFmtId="0" fontId="21" fillId="0" borderId="15" xfId="1" applyFont="1" applyBorder="1" applyAlignment="1">
      <alignment horizontal="left" vertical="center" wrapText="1"/>
    </xf>
    <xf numFmtId="0" fontId="21" fillId="0" borderId="15" xfId="1" applyFont="1" applyBorder="1" applyAlignment="1">
      <alignment horizontal="center" vertical="center" wrapText="1"/>
    </xf>
    <xf numFmtId="176" fontId="21" fillId="0" borderId="15" xfId="1" applyNumberFormat="1" applyFont="1" applyBorder="1" applyAlignment="1">
      <alignment horizontal="center" vertical="center"/>
    </xf>
    <xf numFmtId="0" fontId="12" fillId="8" borderId="11" xfId="0" applyFont="1" applyFill="1" applyBorder="1" applyAlignment="1">
      <alignment horizontal="center" vertical="center" wrapText="1"/>
    </xf>
    <xf numFmtId="49" fontId="12" fillId="0" borderId="1" xfId="0" applyNumberFormat="1" applyFont="1" applyBorder="1" applyAlignment="1">
      <alignment horizontal="center" vertical="center"/>
    </xf>
    <xf numFmtId="0" fontId="12" fillId="6"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12" fillId="8" borderId="1" xfId="0" applyFont="1" applyFill="1" applyBorder="1" applyAlignment="1">
      <alignment horizontal="center" vertical="center"/>
    </xf>
    <xf numFmtId="0" fontId="18" fillId="0" borderId="1" xfId="1" applyFont="1" applyBorder="1" applyAlignment="1">
      <alignment horizontal="center" vertical="center" wrapText="1"/>
    </xf>
    <xf numFmtId="0" fontId="9" fillId="0" borderId="78" xfId="0" applyFont="1" applyBorder="1" applyAlignment="1">
      <alignment horizontal="center" vertical="center"/>
    </xf>
    <xf numFmtId="0" fontId="9" fillId="0" borderId="76" xfId="0" applyFont="1" applyBorder="1" applyAlignment="1">
      <alignment horizontal="center" vertical="center"/>
    </xf>
    <xf numFmtId="0" fontId="10" fillId="0" borderId="76" xfId="0" applyFont="1" applyBorder="1" applyAlignment="1">
      <alignment horizontal="center" vertical="center"/>
    </xf>
    <xf numFmtId="0" fontId="10" fillId="0" borderId="81" xfId="0" applyFont="1" applyBorder="1" applyAlignment="1">
      <alignment horizontal="center" vertical="center"/>
    </xf>
    <xf numFmtId="0" fontId="12" fillId="8" borderId="10" xfId="0" applyFont="1" applyFill="1" applyBorder="1" applyAlignment="1">
      <alignment horizontal="center" vertical="center"/>
    </xf>
    <xf numFmtId="0" fontId="12" fillId="8" borderId="15" xfId="0" applyFont="1" applyFill="1" applyBorder="1" applyAlignment="1">
      <alignment horizontal="center" vertical="center"/>
    </xf>
    <xf numFmtId="0" fontId="12" fillId="8" borderId="11" xfId="0" applyFont="1" applyFill="1" applyBorder="1" applyAlignment="1">
      <alignment horizontal="center" vertical="center"/>
    </xf>
    <xf numFmtId="0" fontId="18" fillId="0" borderId="15" xfId="1" applyFont="1" applyBorder="1" applyAlignment="1">
      <alignment horizontal="center" vertical="center" wrapText="1"/>
    </xf>
    <xf numFmtId="0" fontId="18" fillId="0" borderId="10" xfId="1" applyFont="1" applyBorder="1" applyAlignment="1">
      <alignment horizontal="left" vertical="center" wrapText="1"/>
    </xf>
    <xf numFmtId="0" fontId="18" fillId="0" borderId="15" xfId="1" applyFont="1" applyBorder="1" applyAlignment="1">
      <alignment horizontal="left" vertical="center" wrapText="1"/>
    </xf>
    <xf numFmtId="0" fontId="18" fillId="0" borderId="11" xfId="1" applyFont="1" applyBorder="1" applyAlignment="1">
      <alignment horizontal="left" vertical="center" wrapText="1"/>
    </xf>
    <xf numFmtId="0" fontId="18" fillId="0" borderId="10" xfId="1" applyFont="1" applyBorder="1" applyAlignment="1">
      <alignment vertical="center" wrapText="1"/>
    </xf>
    <xf numFmtId="0" fontId="18" fillId="0" borderId="15" xfId="1" applyFont="1" applyBorder="1" applyAlignment="1">
      <alignment vertical="center" wrapText="1"/>
    </xf>
    <xf numFmtId="0" fontId="18" fillId="0" borderId="11" xfId="1" applyFont="1" applyBorder="1" applyAlignment="1">
      <alignment vertical="center" wrapText="1"/>
    </xf>
    <xf numFmtId="176" fontId="21" fillId="5" borderId="10" xfId="1" applyNumberFormat="1" applyFont="1" applyFill="1" applyBorder="1" applyAlignment="1">
      <alignment horizontal="center" vertical="center"/>
    </xf>
    <xf numFmtId="176" fontId="21" fillId="5" borderId="15" xfId="1" applyNumberFormat="1" applyFont="1" applyFill="1" applyBorder="1" applyAlignment="1">
      <alignment horizontal="center" vertical="center"/>
    </xf>
    <xf numFmtId="176" fontId="21" fillId="5" borderId="11" xfId="1" applyNumberFormat="1"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12" fillId="6" borderId="15" xfId="0" applyFont="1" applyFill="1" applyBorder="1" applyAlignment="1">
      <alignment horizontal="center" vertical="center"/>
    </xf>
    <xf numFmtId="0" fontId="12" fillId="0" borderId="38" xfId="0" applyFont="1" applyBorder="1" applyAlignment="1">
      <alignment horizontal="center" vertical="center"/>
    </xf>
    <xf numFmtId="0" fontId="12" fillId="0" borderId="83" xfId="0" applyFont="1" applyBorder="1" applyAlignment="1">
      <alignment horizontal="center" vertical="center"/>
    </xf>
    <xf numFmtId="0" fontId="12" fillId="0" borderId="39" xfId="0" applyFont="1" applyBorder="1" applyAlignment="1">
      <alignment horizontal="center" vertical="center"/>
    </xf>
    <xf numFmtId="0" fontId="12" fillId="0" borderId="75" xfId="0" applyFont="1" applyBorder="1" applyAlignment="1">
      <alignment horizontal="center" vertical="center"/>
    </xf>
    <xf numFmtId="0" fontId="12" fillId="0" borderId="0" xfId="0" applyFont="1" applyAlignment="1">
      <alignment horizontal="center" vertical="center"/>
    </xf>
    <xf numFmtId="0" fontId="12" fillId="0" borderId="46" xfId="0" applyFont="1" applyBorder="1" applyAlignment="1">
      <alignment horizontal="center" vertical="center"/>
    </xf>
    <xf numFmtId="0" fontId="12" fillId="0" borderId="44" xfId="0" applyFont="1" applyBorder="1" applyAlignment="1">
      <alignment horizontal="center" vertical="center"/>
    </xf>
    <xf numFmtId="0" fontId="12" fillId="0" borderId="84" xfId="0" applyFont="1" applyBorder="1" applyAlignment="1">
      <alignment horizontal="center" vertical="center"/>
    </xf>
    <xf numFmtId="0" fontId="12" fillId="0" borderId="64" xfId="0" applyFont="1" applyBorder="1" applyAlignment="1">
      <alignment horizontal="center" vertical="center"/>
    </xf>
    <xf numFmtId="49" fontId="12" fillId="0" borderId="36" xfId="0" applyNumberFormat="1" applyFont="1" applyBorder="1" applyAlignment="1">
      <alignment horizontal="center" vertical="center"/>
    </xf>
    <xf numFmtId="49" fontId="12" fillId="0" borderId="82" xfId="0" applyNumberFormat="1" applyFont="1" applyBorder="1" applyAlignment="1">
      <alignment horizontal="center" vertical="center"/>
    </xf>
    <xf numFmtId="49" fontId="12" fillId="0" borderId="27" xfId="0" applyNumberFormat="1" applyFont="1" applyBorder="1" applyAlignment="1">
      <alignment horizontal="center" vertical="center"/>
    </xf>
    <xf numFmtId="14" fontId="21" fillId="0" borderId="10" xfId="1" applyNumberFormat="1" applyFont="1" applyBorder="1" applyAlignment="1">
      <alignment horizontal="center" vertical="center" wrapText="1"/>
    </xf>
    <xf numFmtId="14" fontId="21" fillId="0" borderId="15" xfId="1" applyNumberFormat="1" applyFont="1" applyBorder="1" applyAlignment="1">
      <alignment horizontal="center" vertical="center" wrapText="1"/>
    </xf>
    <xf numFmtId="14" fontId="21" fillId="0" borderId="11" xfId="1" applyNumberFormat="1" applyFont="1" applyBorder="1" applyAlignment="1">
      <alignment horizontal="center" vertical="center" wrapText="1"/>
    </xf>
    <xf numFmtId="14" fontId="21" fillId="0" borderId="1" xfId="1" applyNumberFormat="1" applyFont="1" applyBorder="1" applyAlignment="1">
      <alignment horizontal="center" vertical="center" wrapText="1"/>
    </xf>
    <xf numFmtId="49" fontId="12" fillId="7" borderId="1" xfId="0" applyNumberFormat="1" applyFont="1" applyFill="1" applyBorder="1" applyAlignment="1">
      <alignment horizontal="center" vertical="center"/>
    </xf>
    <xf numFmtId="176" fontId="18" fillId="0" borderId="22" xfId="1" applyNumberFormat="1" applyFont="1" applyBorder="1" applyAlignment="1">
      <alignment horizontal="center" vertical="center"/>
    </xf>
    <xf numFmtId="176" fontId="18" fillId="0" borderId="17" xfId="1" applyNumberFormat="1" applyFont="1" applyBorder="1" applyAlignment="1">
      <alignment horizontal="center" vertical="center"/>
    </xf>
    <xf numFmtId="0" fontId="18" fillId="0" borderId="22" xfId="1" applyFont="1" applyBorder="1" applyAlignment="1">
      <alignment horizontal="center" vertical="center" wrapText="1"/>
    </xf>
    <xf numFmtId="0" fontId="18" fillId="0" borderId="17" xfId="1" applyFont="1" applyBorder="1" applyAlignment="1">
      <alignment horizontal="center" vertical="center" wrapText="1"/>
    </xf>
    <xf numFmtId="0" fontId="18" fillId="0" borderId="22" xfId="1" applyFont="1" applyBorder="1" applyAlignment="1">
      <alignment horizontal="left" vertical="center" wrapText="1"/>
    </xf>
    <xf numFmtId="0" fontId="18" fillId="0" borderId="17" xfId="1" applyFont="1" applyBorder="1" applyAlignment="1">
      <alignment horizontal="left" vertical="center" wrapText="1"/>
    </xf>
    <xf numFmtId="0" fontId="12" fillId="8" borderId="3" xfId="0" applyFont="1" applyFill="1" applyBorder="1" applyAlignment="1">
      <alignment horizontal="center" vertical="center"/>
    </xf>
    <xf numFmtId="0" fontId="12" fillId="8" borderId="7" xfId="0" applyFont="1" applyFill="1" applyBorder="1" applyAlignment="1">
      <alignment horizontal="center" vertical="center"/>
    </xf>
    <xf numFmtId="14" fontId="18" fillId="0" borderId="22" xfId="1" applyNumberFormat="1" applyFont="1" applyBorder="1" applyAlignment="1">
      <alignment horizontal="center" vertical="center"/>
    </xf>
    <xf numFmtId="14" fontId="18" fillId="0" borderId="17" xfId="1" applyNumberFormat="1" applyFont="1" applyBorder="1" applyAlignment="1">
      <alignment horizontal="center" vertical="center"/>
    </xf>
    <xf numFmtId="0" fontId="12" fillId="8" borderId="2" xfId="0" applyFont="1" applyFill="1" applyBorder="1" applyAlignment="1">
      <alignment horizontal="center" vertical="center"/>
    </xf>
    <xf numFmtId="0" fontId="12" fillId="8" borderId="8" xfId="0" applyFont="1" applyFill="1" applyBorder="1" applyAlignment="1">
      <alignment horizontal="center" vertical="center"/>
    </xf>
    <xf numFmtId="0" fontId="18" fillId="0" borderId="17" xfId="1" applyFont="1" applyBorder="1" applyAlignment="1">
      <alignment vertical="center" wrapText="1"/>
    </xf>
    <xf numFmtId="0" fontId="9" fillId="0" borderId="25" xfId="0" applyFont="1" applyBorder="1" applyAlignment="1">
      <alignment horizontal="center" vertical="center"/>
    </xf>
    <xf numFmtId="0" fontId="9" fillId="0" borderId="65" xfId="0" applyFont="1" applyBorder="1" applyAlignment="1">
      <alignment horizontal="center" vertical="center"/>
    </xf>
    <xf numFmtId="0" fontId="9" fillId="0" borderId="22" xfId="0" applyFont="1" applyBorder="1" applyAlignment="1">
      <alignment horizontal="center" vertical="center"/>
    </xf>
    <xf numFmtId="0" fontId="10" fillId="0" borderId="22" xfId="0" applyFont="1" applyBorder="1" applyAlignment="1">
      <alignment horizontal="center" vertical="center"/>
    </xf>
    <xf numFmtId="0" fontId="10" fillId="0" borderId="33" xfId="0" applyFont="1" applyBorder="1" applyAlignment="1">
      <alignment horizontal="center" vertical="center"/>
    </xf>
    <xf numFmtId="0" fontId="10" fillId="0" borderId="29" xfId="0" applyFont="1" applyBorder="1" applyAlignment="1">
      <alignment horizontal="center" vertical="center"/>
    </xf>
    <xf numFmtId="0" fontId="21" fillId="0" borderId="17" xfId="1" applyFont="1" applyBorder="1" applyAlignment="1">
      <alignment horizontal="center" vertical="center" wrapText="1"/>
    </xf>
    <xf numFmtId="176" fontId="12" fillId="0" borderId="22" xfId="0" applyNumberFormat="1" applyFont="1" applyBorder="1" applyAlignment="1">
      <alignment horizontal="center" vertical="center"/>
    </xf>
    <xf numFmtId="176" fontId="12" fillId="0" borderId="17" xfId="0" applyNumberFormat="1" applyFont="1" applyBorder="1" applyAlignment="1">
      <alignment horizontal="center" vertical="center"/>
    </xf>
    <xf numFmtId="177" fontId="12" fillId="0" borderId="29" xfId="0" applyNumberFormat="1" applyFont="1" applyBorder="1" applyAlignment="1">
      <alignment horizontal="center" vertical="center"/>
    </xf>
    <xf numFmtId="177" fontId="12" fillId="0" borderId="20" xfId="0" applyNumberFormat="1" applyFont="1" applyBorder="1" applyAlignment="1">
      <alignment horizontal="center" vertical="center"/>
    </xf>
    <xf numFmtId="49" fontId="12" fillId="0" borderId="22" xfId="0" applyNumberFormat="1" applyFont="1" applyBorder="1" applyAlignment="1">
      <alignment horizontal="left" vertical="center"/>
    </xf>
    <xf numFmtId="49" fontId="12" fillId="0" borderId="17" xfId="0" applyNumberFormat="1" applyFont="1" applyBorder="1" applyAlignment="1">
      <alignment horizontal="left" vertical="center"/>
    </xf>
    <xf numFmtId="49" fontId="12" fillId="0" borderId="22" xfId="0" applyNumberFormat="1" applyFont="1" applyBorder="1" applyAlignment="1">
      <alignment horizontal="center" vertical="center"/>
    </xf>
    <xf numFmtId="49" fontId="12" fillId="0" borderId="17" xfId="0" applyNumberFormat="1" applyFont="1" applyBorder="1" applyAlignment="1">
      <alignment horizontal="center" vertical="center"/>
    </xf>
    <xf numFmtId="14" fontId="18" fillId="0" borderId="22" xfId="1" applyNumberFormat="1" applyFont="1" applyBorder="1" applyAlignment="1">
      <alignment horizontal="center" vertical="center" wrapText="1"/>
    </xf>
    <xf numFmtId="14" fontId="18" fillId="0" borderId="17" xfId="1" applyNumberFormat="1" applyFont="1" applyBorder="1" applyAlignment="1">
      <alignment horizontal="center" vertical="center" wrapText="1"/>
    </xf>
    <xf numFmtId="0" fontId="18" fillId="0" borderId="22" xfId="1" applyFont="1" applyBorder="1" applyAlignment="1">
      <alignment vertical="center" wrapText="1"/>
    </xf>
    <xf numFmtId="0" fontId="12" fillId="0" borderId="47"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6" borderId="2"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3" xfId="0" applyFont="1" applyFill="1" applyBorder="1" applyAlignment="1">
      <alignment horizontal="center" vertical="center"/>
    </xf>
    <xf numFmtId="0" fontId="12" fillId="6" borderId="7" xfId="0" applyFont="1" applyFill="1" applyBorder="1" applyAlignment="1">
      <alignment horizontal="center" vertical="center"/>
    </xf>
    <xf numFmtId="0" fontId="12" fillId="8" borderId="16" xfId="0" applyFont="1" applyFill="1" applyBorder="1" applyAlignment="1">
      <alignment horizontal="center" vertical="center"/>
    </xf>
    <xf numFmtId="0" fontId="12" fillId="8" borderId="17" xfId="0" applyFont="1" applyFill="1" applyBorder="1" applyAlignment="1">
      <alignment horizontal="center" vertical="center"/>
    </xf>
    <xf numFmtId="14" fontId="18" fillId="5" borderId="15" xfId="1" applyNumberFormat="1" applyFont="1" applyFill="1" applyBorder="1" applyAlignment="1">
      <alignment horizontal="center" vertical="center" wrapText="1"/>
    </xf>
    <xf numFmtId="14" fontId="18" fillId="5" borderId="17" xfId="1" applyNumberFormat="1" applyFont="1" applyFill="1" applyBorder="1" applyAlignment="1">
      <alignment horizontal="center" vertical="center" wrapText="1"/>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48" xfId="0" applyFont="1" applyBorder="1" applyAlignment="1">
      <alignment horizontal="center" vertical="center"/>
    </xf>
    <xf numFmtId="49" fontId="12" fillId="7" borderId="34" xfId="0" applyNumberFormat="1" applyFont="1" applyFill="1" applyBorder="1" applyAlignment="1">
      <alignment horizontal="center" vertical="center"/>
    </xf>
    <xf numFmtId="49" fontId="12" fillId="7" borderId="70" xfId="0" applyNumberFormat="1" applyFont="1" applyFill="1" applyBorder="1" applyAlignment="1">
      <alignment horizontal="center" vertical="center"/>
    </xf>
    <xf numFmtId="49" fontId="12" fillId="7" borderId="48" xfId="0" applyNumberFormat="1" applyFont="1" applyFill="1" applyBorder="1" applyAlignment="1">
      <alignment horizontal="center" vertical="center"/>
    </xf>
    <xf numFmtId="0" fontId="12" fillId="8" borderId="25" xfId="0" applyFont="1" applyFill="1" applyBorder="1" applyAlignment="1">
      <alignment horizontal="center" vertical="center"/>
    </xf>
    <xf numFmtId="0" fontId="21" fillId="0" borderId="22" xfId="1" applyFont="1" applyBorder="1" applyAlignment="1">
      <alignment horizontal="center" vertical="center" wrapText="1"/>
    </xf>
    <xf numFmtId="0" fontId="12" fillId="6" borderId="25" xfId="0" applyFont="1" applyFill="1" applyBorder="1" applyAlignment="1">
      <alignment horizontal="center" vertical="center"/>
    </xf>
    <xf numFmtId="0" fontId="12" fillId="6" borderId="16" xfId="0" applyFont="1" applyFill="1" applyBorder="1" applyAlignment="1">
      <alignment horizontal="center" vertical="center"/>
    </xf>
    <xf numFmtId="0" fontId="12" fillId="6" borderId="22" xfId="0" applyFont="1" applyFill="1" applyBorder="1" applyAlignment="1">
      <alignment horizontal="center" vertical="center"/>
    </xf>
    <xf numFmtId="0" fontId="12" fillId="6" borderId="17" xfId="0" applyFont="1" applyFill="1" applyBorder="1" applyAlignment="1">
      <alignment horizontal="center" vertical="center"/>
    </xf>
    <xf numFmtId="0" fontId="12" fillId="8" borderId="22" xfId="0" applyFont="1" applyFill="1" applyBorder="1" applyAlignment="1">
      <alignment horizontal="center" vertical="center"/>
    </xf>
    <xf numFmtId="14" fontId="18" fillId="5" borderId="11" xfId="1" applyNumberFormat="1" applyFont="1" applyFill="1" applyBorder="1" applyAlignment="1">
      <alignment horizontal="center" vertical="center" wrapText="1"/>
    </xf>
    <xf numFmtId="14" fontId="18" fillId="5" borderId="10" xfId="1" applyNumberFormat="1" applyFont="1" applyFill="1" applyBorder="1" applyAlignment="1">
      <alignment horizontal="center" vertical="center" wrapText="1"/>
    </xf>
    <xf numFmtId="14" fontId="18" fillId="5" borderId="3" xfId="1" applyNumberFormat="1" applyFont="1" applyFill="1" applyBorder="1" applyAlignment="1">
      <alignment horizontal="center" vertical="center" wrapText="1"/>
    </xf>
    <xf numFmtId="14" fontId="18" fillId="5" borderId="1" xfId="1" applyNumberFormat="1" applyFont="1" applyFill="1" applyBorder="1" applyAlignment="1">
      <alignment horizontal="center" vertical="center" wrapText="1"/>
    </xf>
    <xf numFmtId="0" fontId="12" fillId="0" borderId="7" xfId="0" applyFont="1" applyBorder="1" applyAlignment="1">
      <alignment horizontal="center" vertical="center"/>
    </xf>
    <xf numFmtId="49" fontId="12" fillId="7" borderId="37" xfId="0" applyNumberFormat="1" applyFont="1" applyFill="1" applyBorder="1" applyAlignment="1">
      <alignment horizontal="center" vertical="center"/>
    </xf>
    <xf numFmtId="49" fontId="12" fillId="7" borderId="76" xfId="0" applyNumberFormat="1" applyFont="1" applyFill="1" applyBorder="1" applyAlignment="1">
      <alignment horizontal="center" vertical="center"/>
    </xf>
    <xf numFmtId="49" fontId="12" fillId="7" borderId="28" xfId="0" applyNumberFormat="1" applyFont="1" applyFill="1" applyBorder="1" applyAlignment="1">
      <alignment horizontal="center" vertical="center"/>
    </xf>
    <xf numFmtId="14" fontId="18" fillId="5" borderId="7" xfId="1" applyNumberFormat="1" applyFont="1" applyFill="1" applyBorder="1" applyAlignment="1">
      <alignment horizontal="center" vertical="center" wrapText="1"/>
    </xf>
    <xf numFmtId="0" fontId="12" fillId="0" borderId="33" xfId="0" applyFont="1" applyBorder="1" applyAlignment="1">
      <alignment horizontal="center" vertical="center"/>
    </xf>
    <xf numFmtId="0" fontId="12" fillId="0" borderId="67" xfId="0" applyFont="1" applyBorder="1" applyAlignment="1">
      <alignment horizontal="center" vertical="center"/>
    </xf>
    <xf numFmtId="0" fontId="12" fillId="0" borderId="65" xfId="0" applyFont="1" applyBorder="1" applyAlignment="1">
      <alignment horizontal="center" vertical="center"/>
    </xf>
    <xf numFmtId="0" fontId="12" fillId="0" borderId="74" xfId="0" applyFont="1" applyBorder="1" applyAlignment="1">
      <alignment horizontal="center" vertical="center"/>
    </xf>
    <xf numFmtId="0" fontId="12" fillId="7" borderId="69" xfId="0" applyFont="1" applyFill="1" applyBorder="1" applyAlignment="1">
      <alignment horizontal="center" vertical="center"/>
    </xf>
    <xf numFmtId="0" fontId="12" fillId="7" borderId="70" xfId="0" applyFont="1" applyFill="1" applyBorder="1" applyAlignment="1">
      <alignment horizontal="center" vertical="center"/>
    </xf>
    <xf numFmtId="0" fontId="12" fillId="7" borderId="71" xfId="0" applyFont="1" applyFill="1" applyBorder="1" applyAlignment="1">
      <alignment horizontal="center" vertical="center"/>
    </xf>
    <xf numFmtId="0" fontId="16" fillId="0" borderId="69" xfId="0" applyFont="1" applyBorder="1" applyAlignment="1">
      <alignment horizontal="center" vertical="center"/>
    </xf>
    <xf numFmtId="0" fontId="16" fillId="0" borderId="70" xfId="0" applyFont="1" applyBorder="1" applyAlignment="1">
      <alignment horizontal="center" vertical="center"/>
    </xf>
    <xf numFmtId="176" fontId="18" fillId="0" borderId="7" xfId="1" applyNumberFormat="1" applyFont="1" applyBorder="1" applyAlignment="1">
      <alignment horizontal="left" vertical="center" wrapText="1"/>
    </xf>
    <xf numFmtId="0" fontId="12" fillId="0" borderId="8" xfId="0" applyFont="1" applyBorder="1" applyAlignment="1">
      <alignment horizontal="center" vertical="center"/>
    </xf>
    <xf numFmtId="176" fontId="18" fillId="0" borderId="7" xfId="1" applyNumberFormat="1" applyFont="1" applyBorder="1" applyAlignment="1">
      <alignment horizontal="center" vertical="center" wrapText="1"/>
    </xf>
    <xf numFmtId="0" fontId="12" fillId="6" borderId="26" xfId="0" applyFont="1" applyFill="1" applyBorder="1" applyAlignment="1">
      <alignment horizontal="center" vertical="center"/>
    </xf>
    <xf numFmtId="0" fontId="12" fillId="6" borderId="27" xfId="0" applyFont="1" applyFill="1" applyBorder="1" applyAlignment="1">
      <alignment horizontal="center" vertical="center"/>
    </xf>
    <xf numFmtId="0" fontId="12" fillId="6" borderId="28" xfId="0" applyFont="1" applyFill="1" applyBorder="1" applyAlignment="1">
      <alignment horizontal="center" vertical="center"/>
    </xf>
    <xf numFmtId="14" fontId="18" fillId="5" borderId="26" xfId="1" applyNumberFormat="1" applyFont="1" applyFill="1" applyBorder="1" applyAlignment="1">
      <alignment horizontal="center" vertical="center" wrapText="1"/>
    </xf>
    <xf numFmtId="14" fontId="18" fillId="5" borderId="27" xfId="1" applyNumberFormat="1" applyFont="1" applyFill="1" applyBorder="1" applyAlignment="1">
      <alignment horizontal="center" vertical="center" wrapText="1"/>
    </xf>
    <xf numFmtId="14" fontId="18" fillId="5" borderId="28" xfId="1" applyNumberFormat="1" applyFont="1" applyFill="1" applyBorder="1" applyAlignment="1">
      <alignment horizontal="center" vertical="center" wrapText="1"/>
    </xf>
    <xf numFmtId="0" fontId="12" fillId="8" borderId="26" xfId="0" applyFont="1" applyFill="1" applyBorder="1" applyAlignment="1">
      <alignment horizontal="center" vertical="center"/>
    </xf>
    <xf numFmtId="0" fontId="12" fillId="8" borderId="27" xfId="0" applyFont="1" applyFill="1" applyBorder="1" applyAlignment="1">
      <alignment horizontal="center" vertical="center"/>
    </xf>
    <xf numFmtId="0" fontId="12" fillId="8" borderId="28" xfId="0" applyFont="1" applyFill="1" applyBorder="1" applyAlignment="1">
      <alignment horizontal="center" vertical="center"/>
    </xf>
    <xf numFmtId="0" fontId="12" fillId="6" borderId="39" xfId="0" applyFont="1" applyFill="1" applyBorder="1" applyAlignment="1">
      <alignment horizontal="center" vertical="center"/>
    </xf>
    <xf numFmtId="0" fontId="12" fillId="8" borderId="39" xfId="0" applyFont="1" applyFill="1" applyBorder="1" applyAlignment="1">
      <alignment horizontal="center" vertical="center"/>
    </xf>
    <xf numFmtId="14" fontId="18" fillId="0" borderId="26" xfId="1" applyNumberFormat="1" applyFont="1" applyBorder="1" applyAlignment="1">
      <alignment horizontal="center" vertical="center"/>
    </xf>
    <xf numFmtId="14" fontId="18" fillId="0" borderId="39" xfId="1" applyNumberFormat="1" applyFont="1" applyBorder="1" applyAlignment="1">
      <alignment horizontal="center" vertical="center"/>
    </xf>
    <xf numFmtId="14" fontId="18" fillId="0" borderId="28" xfId="1" applyNumberFormat="1" applyFont="1" applyBorder="1" applyAlignment="1">
      <alignment horizontal="center" vertical="center"/>
    </xf>
    <xf numFmtId="14" fontId="18" fillId="5" borderId="39" xfId="1" applyNumberFormat="1" applyFont="1" applyFill="1" applyBorder="1" applyAlignment="1">
      <alignment horizontal="center" vertical="center" wrapText="1"/>
    </xf>
    <xf numFmtId="0" fontId="12" fillId="8" borderId="64" xfId="0" applyFont="1" applyFill="1" applyBorder="1" applyAlignment="1">
      <alignment horizontal="center" vertical="center"/>
    </xf>
    <xf numFmtId="0" fontId="21" fillId="0" borderId="22" xfId="1" applyFont="1" applyBorder="1" applyAlignment="1">
      <alignment horizontal="left" vertical="center" wrapText="1"/>
    </xf>
    <xf numFmtId="0" fontId="21" fillId="0" borderId="17" xfId="1" applyFont="1" applyBorder="1" applyAlignment="1">
      <alignment horizontal="left" vertical="center" wrapText="1"/>
    </xf>
    <xf numFmtId="0" fontId="9" fillId="0" borderId="0" xfId="0" applyFont="1" applyAlignment="1">
      <alignment horizontal="center" vertical="center"/>
    </xf>
    <xf numFmtId="0" fontId="12" fillId="0" borderId="51" xfId="0" applyFont="1" applyBorder="1" applyAlignment="1">
      <alignment horizontal="center" vertical="center"/>
    </xf>
    <xf numFmtId="0" fontId="12" fillId="0" borderId="52" xfId="0" applyFont="1" applyBorder="1" applyAlignment="1">
      <alignment horizontal="center" vertical="center"/>
    </xf>
    <xf numFmtId="0" fontId="12" fillId="8" borderId="49" xfId="0" applyFont="1" applyFill="1" applyBorder="1" applyAlignment="1">
      <alignment horizontal="center" vertical="center"/>
    </xf>
    <xf numFmtId="0" fontId="12" fillId="8" borderId="42" xfId="0" applyFont="1" applyFill="1" applyBorder="1" applyAlignment="1">
      <alignment horizontal="center" vertical="center"/>
    </xf>
    <xf numFmtId="0" fontId="12" fillId="8" borderId="43" xfId="0" applyFont="1" applyFill="1" applyBorder="1" applyAlignment="1">
      <alignment horizontal="center" vertical="center"/>
    </xf>
    <xf numFmtId="0" fontId="12" fillId="6" borderId="49" xfId="0" applyFont="1" applyFill="1" applyBorder="1" applyAlignment="1">
      <alignment horizontal="center" vertical="center"/>
    </xf>
    <xf numFmtId="0" fontId="12" fillId="6" borderId="42" xfId="0" applyFont="1" applyFill="1" applyBorder="1" applyAlignment="1">
      <alignment horizontal="center" vertical="center"/>
    </xf>
    <xf numFmtId="0" fontId="12" fillId="6" borderId="43" xfId="0" applyFont="1" applyFill="1" applyBorder="1" applyAlignment="1">
      <alignment horizontal="center" vertical="center"/>
    </xf>
    <xf numFmtId="0" fontId="16" fillId="0" borderId="51" xfId="0" applyFont="1" applyBorder="1" applyAlignment="1">
      <alignment horizontal="center" vertical="center"/>
    </xf>
    <xf numFmtId="0" fontId="24" fillId="6" borderId="49" xfId="0" applyFont="1" applyFill="1" applyBorder="1" applyAlignment="1">
      <alignment horizontal="center" vertical="center"/>
    </xf>
    <xf numFmtId="0" fontId="24" fillId="6" borderId="42" xfId="0" applyFont="1" applyFill="1" applyBorder="1" applyAlignment="1">
      <alignment horizontal="center" vertical="center"/>
    </xf>
    <xf numFmtId="0" fontId="24" fillId="6" borderId="43" xfId="0" applyFont="1" applyFill="1" applyBorder="1" applyAlignment="1">
      <alignment horizontal="center" vertical="center"/>
    </xf>
    <xf numFmtId="0" fontId="24" fillId="8" borderId="49" xfId="0" applyFont="1" applyFill="1" applyBorder="1" applyAlignment="1">
      <alignment horizontal="center" vertical="center"/>
    </xf>
    <xf numFmtId="0" fontId="24" fillId="8" borderId="42" xfId="0" applyFont="1" applyFill="1" applyBorder="1" applyAlignment="1">
      <alignment horizontal="center" vertical="center"/>
    </xf>
    <xf numFmtId="0" fontId="24" fillId="8" borderId="43" xfId="0" applyFont="1" applyFill="1" applyBorder="1" applyAlignment="1">
      <alignment horizontal="center" vertical="center"/>
    </xf>
    <xf numFmtId="14" fontId="22" fillId="0" borderId="50" xfId="1" applyNumberFormat="1" applyFont="1" applyBorder="1" applyAlignment="1">
      <alignment horizontal="center" vertical="center"/>
    </xf>
    <xf numFmtId="14" fontId="22" fillId="0" borderId="51" xfId="1" applyNumberFormat="1" applyFont="1" applyBorder="1" applyAlignment="1">
      <alignment horizontal="center" vertical="center"/>
    </xf>
    <xf numFmtId="14" fontId="22" fillId="0" borderId="52" xfId="1" applyNumberFormat="1" applyFont="1" applyBorder="1" applyAlignment="1">
      <alignment horizontal="center" vertical="center"/>
    </xf>
    <xf numFmtId="14" fontId="22" fillId="0" borderId="66" xfId="1" applyNumberFormat="1" applyFont="1" applyBorder="1" applyAlignment="1">
      <alignment horizontal="center" vertical="center"/>
    </xf>
    <xf numFmtId="14" fontId="22" fillId="0" borderId="0" xfId="1" applyNumberFormat="1" applyFont="1" applyAlignment="1">
      <alignment horizontal="center" vertical="center"/>
    </xf>
    <xf numFmtId="14" fontId="22" fillId="0" borderId="46" xfId="1" applyNumberFormat="1" applyFont="1" applyBorder="1" applyAlignment="1">
      <alignment horizontal="center" vertical="center"/>
    </xf>
    <xf numFmtId="14" fontId="22" fillId="0" borderId="47" xfId="1" applyNumberFormat="1" applyFont="1" applyBorder="1" applyAlignment="1">
      <alignment horizontal="center" vertical="center"/>
    </xf>
    <xf numFmtId="14" fontId="22" fillId="0" borderId="40" xfId="1" applyNumberFormat="1" applyFont="1" applyBorder="1" applyAlignment="1">
      <alignment horizontal="center" vertical="center"/>
    </xf>
    <xf numFmtId="14" fontId="22" fillId="0" borderId="41" xfId="1"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1" xfId="0" applyNumberFormat="1" applyFont="1" applyBorder="1" applyAlignment="1">
      <alignment horizontal="center" vertical="center"/>
    </xf>
    <xf numFmtId="14" fontId="16" fillId="0" borderId="7" xfId="0" applyNumberFormat="1" applyFont="1" applyBorder="1" applyAlignment="1">
      <alignment horizontal="center" vertical="center"/>
    </xf>
    <xf numFmtId="0" fontId="18" fillId="0" borderId="3" xfId="1" applyFont="1" applyBorder="1" applyAlignment="1">
      <alignment horizontal="center" vertical="center" wrapText="1"/>
    </xf>
    <xf numFmtId="0" fontId="18" fillId="0" borderId="7" xfId="1" applyFont="1" applyBorder="1" applyAlignment="1">
      <alignment horizontal="center" vertical="center" wrapText="1"/>
    </xf>
    <xf numFmtId="49" fontId="18" fillId="0" borderId="3" xfId="1" applyNumberFormat="1" applyFont="1" applyBorder="1" applyAlignment="1">
      <alignment horizontal="center" vertical="center" wrapText="1"/>
    </xf>
    <xf numFmtId="49" fontId="18" fillId="0" borderId="1" xfId="1" applyNumberFormat="1" applyFont="1" applyBorder="1" applyAlignment="1">
      <alignment horizontal="center" vertical="center" wrapText="1"/>
    </xf>
    <xf numFmtId="49" fontId="18" fillId="0" borderId="7" xfId="1" applyNumberFormat="1" applyFont="1" applyBorder="1" applyAlignment="1">
      <alignment horizontal="center" vertical="center" wrapText="1"/>
    </xf>
    <xf numFmtId="0" fontId="12" fillId="0" borderId="27" xfId="0" applyFont="1" applyBorder="1" applyAlignment="1">
      <alignment horizontal="center" vertical="center"/>
    </xf>
    <xf numFmtId="49" fontId="18" fillId="0" borderId="10" xfId="1" applyNumberFormat="1" applyFont="1" applyBorder="1" applyAlignment="1">
      <alignment horizontal="center" vertical="center" wrapText="1"/>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26" xfId="0" applyFont="1" applyBorder="1" applyAlignment="1">
      <alignment horizontal="center" vertical="center"/>
    </xf>
    <xf numFmtId="0" fontId="12" fillId="0" borderId="28"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30" xfId="0" applyFont="1" applyBorder="1" applyAlignment="1">
      <alignment horizontal="center" vertical="center"/>
    </xf>
    <xf numFmtId="0" fontId="12" fillId="0" borderId="49" xfId="0" applyFont="1" applyBorder="1" applyAlignment="1">
      <alignment horizontal="center" vertical="center"/>
    </xf>
    <xf numFmtId="14" fontId="18" fillId="0" borderId="64" xfId="1" applyNumberFormat="1" applyFont="1" applyBorder="1" applyAlignment="1">
      <alignment horizontal="center" vertical="center"/>
    </xf>
    <xf numFmtId="14" fontId="18" fillId="0" borderId="27" xfId="1" applyNumberFormat="1" applyFont="1" applyBorder="1" applyAlignment="1">
      <alignment horizontal="center" vertical="center"/>
    </xf>
    <xf numFmtId="0" fontId="12" fillId="0" borderId="25" xfId="0" applyFont="1" applyBorder="1" applyAlignment="1">
      <alignment horizontal="center" vertical="center"/>
    </xf>
    <xf numFmtId="0" fontId="12" fillId="0" borderId="16" xfId="0" applyFont="1" applyBorder="1" applyAlignment="1">
      <alignment horizontal="center" vertical="center"/>
    </xf>
    <xf numFmtId="14" fontId="22" fillId="0" borderId="58" xfId="1" applyNumberFormat="1" applyFont="1" applyBorder="1" applyAlignment="1">
      <alignment horizontal="center" vertical="center"/>
    </xf>
    <xf numFmtId="14" fontId="22" fillId="0" borderId="59" xfId="1" applyNumberFormat="1" applyFont="1" applyBorder="1" applyAlignment="1">
      <alignment horizontal="center" vertical="center"/>
    </xf>
    <xf numFmtId="14" fontId="18" fillId="5" borderId="1" xfId="1" applyNumberFormat="1" applyFont="1" applyFill="1" applyBorder="1" applyAlignment="1">
      <alignment horizontal="left" vertical="center" wrapText="1"/>
    </xf>
    <xf numFmtId="49" fontId="12" fillId="0" borderId="1" xfId="1" applyNumberFormat="1" applyFont="1" applyBorder="1" applyAlignment="1">
      <alignment horizontal="center" vertical="center" wrapText="1"/>
    </xf>
    <xf numFmtId="49" fontId="12" fillId="0" borderId="10" xfId="1" applyNumberFormat="1" applyFont="1" applyBorder="1" applyAlignment="1">
      <alignment horizontal="center" vertical="center" wrapText="1"/>
    </xf>
    <xf numFmtId="0" fontId="12" fillId="0" borderId="1" xfId="1" applyFont="1" applyBorder="1" applyAlignment="1">
      <alignment horizontal="left" vertical="center" wrapText="1"/>
    </xf>
    <xf numFmtId="0" fontId="12" fillId="0" borderId="10" xfId="1" applyFont="1" applyBorder="1" applyAlignment="1">
      <alignment horizontal="left" vertical="center" wrapText="1"/>
    </xf>
    <xf numFmtId="0" fontId="12" fillId="0" borderId="7" xfId="1" applyFont="1" applyBorder="1" applyAlignment="1">
      <alignment horizontal="left" vertical="center" wrapText="1"/>
    </xf>
    <xf numFmtId="49" fontId="12" fillId="0" borderId="7" xfId="1" applyNumberFormat="1" applyFont="1" applyBorder="1" applyAlignment="1">
      <alignment horizontal="center" vertical="center" wrapText="1"/>
    </xf>
    <xf numFmtId="14" fontId="18" fillId="5" borderId="22" xfId="1" applyNumberFormat="1" applyFont="1" applyFill="1" applyBorder="1" applyAlignment="1">
      <alignment horizontal="center" vertical="center" wrapText="1"/>
    </xf>
    <xf numFmtId="176" fontId="17" fillId="0" borderId="22" xfId="1" applyNumberFormat="1" applyFont="1" applyBorder="1" applyAlignment="1">
      <alignment horizontal="center" vertical="center"/>
    </xf>
    <xf numFmtId="176" fontId="17" fillId="0" borderId="17" xfId="1" applyNumberFormat="1" applyFont="1" applyBorder="1" applyAlignment="1">
      <alignment horizontal="center" vertical="center"/>
    </xf>
    <xf numFmtId="49" fontId="12" fillId="0" borderId="22" xfId="1" applyNumberFormat="1" applyFont="1" applyBorder="1" applyAlignment="1">
      <alignment horizontal="center" vertical="center" wrapText="1"/>
    </xf>
    <xf numFmtId="49" fontId="12" fillId="0" borderId="17" xfId="1" applyNumberFormat="1" applyFont="1" applyBorder="1" applyAlignment="1">
      <alignment horizontal="center" vertical="center" wrapText="1"/>
    </xf>
    <xf numFmtId="0" fontId="12" fillId="0" borderId="22" xfId="1" applyFont="1" applyBorder="1" applyAlignment="1">
      <alignment horizontal="left" vertical="center" wrapText="1"/>
    </xf>
    <xf numFmtId="0" fontId="12" fillId="0" borderId="17" xfId="1" applyFont="1" applyBorder="1" applyAlignment="1">
      <alignment horizontal="left" vertical="center" wrapText="1"/>
    </xf>
    <xf numFmtId="0" fontId="12" fillId="0" borderId="2" xfId="0" applyFont="1" applyBorder="1" applyAlignment="1">
      <alignment horizontal="center" vertical="center"/>
    </xf>
    <xf numFmtId="14" fontId="18" fillId="0" borderId="15" xfId="1" applyNumberFormat="1" applyFont="1" applyBorder="1" applyAlignment="1">
      <alignment horizontal="center" vertical="center" wrapText="1"/>
    </xf>
    <xf numFmtId="176" fontId="17" fillId="0" borderId="22" xfId="1" applyNumberFormat="1" applyFont="1" applyBorder="1" applyAlignment="1">
      <alignment horizontal="center" vertical="center" wrapText="1"/>
    </xf>
    <xf numFmtId="176" fontId="17" fillId="0" borderId="15" xfId="1" applyNumberFormat="1" applyFont="1" applyBorder="1" applyAlignment="1">
      <alignment horizontal="center" vertical="center" wrapText="1"/>
    </xf>
    <xf numFmtId="176" fontId="17" fillId="0" borderId="17" xfId="1" applyNumberFormat="1" applyFont="1" applyBorder="1" applyAlignment="1">
      <alignment horizontal="center" vertical="center" wrapText="1"/>
    </xf>
    <xf numFmtId="49" fontId="12" fillId="0" borderId="15" xfId="1" applyNumberFormat="1" applyFont="1" applyBorder="1" applyAlignment="1">
      <alignment horizontal="center" vertical="center" wrapText="1"/>
    </xf>
    <xf numFmtId="0" fontId="12" fillId="0" borderId="15" xfId="1" applyFont="1" applyBorder="1" applyAlignment="1">
      <alignment horizontal="left" vertical="center" wrapText="1"/>
    </xf>
    <xf numFmtId="14" fontId="18" fillId="0" borderId="3" xfId="1" applyNumberFormat="1" applyFont="1" applyBorder="1" applyAlignment="1">
      <alignment horizontal="center" vertical="center" wrapText="1"/>
    </xf>
    <xf numFmtId="14" fontId="18" fillId="0" borderId="7" xfId="1" applyNumberFormat="1" applyFont="1" applyBorder="1" applyAlignment="1">
      <alignment horizontal="center" vertical="center" wrapText="1"/>
    </xf>
    <xf numFmtId="176" fontId="17" fillId="0" borderId="3" xfId="1" applyNumberFormat="1" applyFont="1" applyBorder="1" applyAlignment="1">
      <alignment horizontal="center" vertical="center"/>
    </xf>
    <xf numFmtId="176" fontId="17" fillId="0" borderId="7" xfId="1" applyNumberFormat="1" applyFont="1" applyBorder="1" applyAlignment="1">
      <alignment horizontal="center" vertical="center"/>
    </xf>
    <xf numFmtId="176" fontId="17" fillId="0" borderId="1" xfId="1" applyNumberFormat="1" applyFont="1" applyBorder="1" applyAlignment="1">
      <alignment horizontal="center" vertical="center" wrapText="1"/>
    </xf>
    <xf numFmtId="176" fontId="17" fillId="0" borderId="1" xfId="1" applyNumberFormat="1" applyFont="1" applyBorder="1" applyAlignment="1">
      <alignment horizontal="center" vertical="center"/>
    </xf>
    <xf numFmtId="0" fontId="12" fillId="0" borderId="1" xfId="1" applyFont="1" applyBorder="1" applyAlignment="1">
      <alignment horizontal="center" vertical="center" wrapText="1"/>
    </xf>
    <xf numFmtId="176" fontId="17" fillId="0" borderId="10" xfId="1" applyNumberFormat="1" applyFont="1" applyBorder="1" applyAlignment="1">
      <alignment horizontal="center" vertical="center"/>
    </xf>
    <xf numFmtId="176" fontId="17" fillId="0" borderId="15" xfId="1" applyNumberFormat="1" applyFont="1" applyBorder="1" applyAlignment="1">
      <alignment horizontal="center" vertical="center"/>
    </xf>
    <xf numFmtId="176" fontId="17" fillId="0" borderId="11" xfId="1" applyNumberFormat="1" applyFont="1" applyBorder="1" applyAlignment="1">
      <alignment horizontal="center" vertical="center"/>
    </xf>
    <xf numFmtId="49" fontId="18" fillId="0" borderId="15" xfId="1" applyNumberFormat="1" applyFont="1" applyBorder="1" applyAlignment="1">
      <alignment horizontal="center" vertical="center" wrapText="1"/>
    </xf>
    <xf numFmtId="49" fontId="18" fillId="0" borderId="11" xfId="1" applyNumberFormat="1" applyFont="1" applyBorder="1" applyAlignment="1">
      <alignment horizontal="center" vertical="center" wrapText="1"/>
    </xf>
    <xf numFmtId="49" fontId="18" fillId="0" borderId="5" xfId="0" applyNumberFormat="1" applyFont="1" applyBorder="1" applyAlignment="1">
      <alignment horizontal="center" vertical="center" readingOrder="1"/>
    </xf>
    <xf numFmtId="14" fontId="16" fillId="0" borderId="1" xfId="0" applyNumberFormat="1" applyFont="1" applyBorder="1" applyAlignment="1">
      <alignment horizontal="center" vertical="center" wrapText="1"/>
    </xf>
    <xf numFmtId="49" fontId="18" fillId="4" borderId="1" xfId="0" applyNumberFormat="1" applyFont="1" applyFill="1" applyBorder="1" applyAlignment="1">
      <alignment horizontal="center" vertical="center" wrapText="1"/>
    </xf>
    <xf numFmtId="14" fontId="12" fillId="0" borderId="3" xfId="0" applyNumberFormat="1" applyFont="1" applyBorder="1" applyAlignment="1">
      <alignment horizontal="center" vertical="center"/>
    </xf>
    <xf numFmtId="14" fontId="12" fillId="0" borderId="1" xfId="0" applyNumberFormat="1" applyFont="1" applyBorder="1" applyAlignment="1">
      <alignment horizontal="center" vertical="center"/>
    </xf>
    <xf numFmtId="14" fontId="12" fillId="0" borderId="7" xfId="0" applyNumberFormat="1" applyFont="1" applyBorder="1" applyAlignment="1">
      <alignment horizontal="center" vertical="center"/>
    </xf>
    <xf numFmtId="14" fontId="18" fillId="0" borderId="26" xfId="1" applyNumberFormat="1" applyFont="1" applyBorder="1" applyAlignment="1">
      <alignment horizontal="center" vertical="center" wrapText="1"/>
    </xf>
    <xf numFmtId="14" fontId="18" fillId="0" borderId="27" xfId="1" applyNumberFormat="1" applyFont="1" applyBorder="1" applyAlignment="1">
      <alignment horizontal="center" vertical="center" wrapText="1"/>
    </xf>
    <xf numFmtId="14" fontId="18" fillId="0" borderId="28" xfId="1" applyNumberFormat="1" applyFont="1" applyBorder="1" applyAlignment="1">
      <alignment horizontal="center" vertical="center" wrapText="1"/>
    </xf>
    <xf numFmtId="0" fontId="12" fillId="0" borderId="15" xfId="0" applyFont="1" applyBorder="1" applyAlignment="1">
      <alignment horizontal="center" vertical="center"/>
    </xf>
    <xf numFmtId="49" fontId="18" fillId="0" borderId="1" xfId="0" applyNumberFormat="1" applyFont="1" applyBorder="1" applyAlignment="1">
      <alignment horizontal="left" vertical="center" wrapText="1"/>
    </xf>
    <xf numFmtId="49" fontId="18" fillId="0" borderId="7" xfId="0" applyNumberFormat="1" applyFont="1" applyBorder="1" applyAlignment="1">
      <alignment horizontal="left" vertical="center" wrapText="1"/>
    </xf>
    <xf numFmtId="14" fontId="16" fillId="0" borderId="7" xfId="0" applyNumberFormat="1" applyFont="1" applyBorder="1" applyAlignment="1">
      <alignment horizontal="center" vertical="center" wrapText="1"/>
    </xf>
    <xf numFmtId="178" fontId="17" fillId="0" borderId="1" xfId="0" applyNumberFormat="1" applyFont="1" applyBorder="1" applyAlignment="1">
      <alignment horizontal="center" vertical="center" readingOrder="1"/>
    </xf>
    <xf numFmtId="178" fontId="17" fillId="0" borderId="7" xfId="0" applyNumberFormat="1" applyFont="1" applyBorder="1" applyAlignment="1">
      <alignment horizontal="center" vertical="center" readingOrder="1"/>
    </xf>
    <xf numFmtId="49" fontId="18" fillId="4" borderId="7" xfId="0" applyNumberFormat="1" applyFont="1" applyFill="1" applyBorder="1" applyAlignment="1">
      <alignment horizontal="center" vertical="center" wrapText="1"/>
    </xf>
    <xf numFmtId="49" fontId="17" fillId="0" borderId="1" xfId="1" applyNumberFormat="1" applyFont="1" applyBorder="1" applyAlignment="1">
      <alignment horizontal="center" vertical="center" wrapText="1"/>
    </xf>
    <xf numFmtId="14" fontId="16" fillId="0" borderId="10" xfId="0" applyNumberFormat="1" applyFont="1" applyBorder="1" applyAlignment="1">
      <alignment horizontal="center" vertical="center" wrapText="1"/>
    </xf>
    <xf numFmtId="14" fontId="16" fillId="0" borderId="15" xfId="0" applyNumberFormat="1" applyFont="1" applyBorder="1" applyAlignment="1">
      <alignment horizontal="center" vertical="center" wrapText="1"/>
    </xf>
    <xf numFmtId="14" fontId="16" fillId="0" borderId="17" xfId="0" applyNumberFormat="1" applyFont="1" applyBorder="1" applyAlignment="1">
      <alignment horizontal="center" vertical="center" wrapText="1"/>
    </xf>
    <xf numFmtId="49" fontId="18" fillId="0" borderId="1" xfId="0" applyNumberFormat="1" applyFont="1" applyBorder="1" applyAlignment="1">
      <alignment horizontal="center" vertical="center" readingOrder="1"/>
    </xf>
    <xf numFmtId="49" fontId="18" fillId="0" borderId="10" xfId="0" applyNumberFormat="1" applyFont="1" applyBorder="1" applyAlignment="1">
      <alignment horizontal="center" vertical="center" readingOrder="1"/>
    </xf>
    <xf numFmtId="49" fontId="18" fillId="0" borderId="15" xfId="0" applyNumberFormat="1" applyFont="1" applyBorder="1" applyAlignment="1">
      <alignment horizontal="center" vertical="center" readingOrder="1"/>
    </xf>
    <xf numFmtId="49" fontId="18" fillId="0" borderId="17" xfId="0" applyNumberFormat="1" applyFont="1" applyBorder="1" applyAlignment="1">
      <alignment horizontal="center" vertical="center" readingOrder="1"/>
    </xf>
    <xf numFmtId="178" fontId="17" fillId="0" borderId="10" xfId="0" applyNumberFormat="1" applyFont="1" applyBorder="1" applyAlignment="1">
      <alignment horizontal="center" vertical="center" wrapText="1" readingOrder="1"/>
    </xf>
    <xf numFmtId="178" fontId="17" fillId="0" borderId="15" xfId="0" applyNumberFormat="1" applyFont="1" applyBorder="1" applyAlignment="1">
      <alignment horizontal="center" vertical="center" readingOrder="1"/>
    </xf>
    <xf numFmtId="178" fontId="17" fillId="0" borderId="17" xfId="0" applyNumberFormat="1" applyFont="1" applyBorder="1" applyAlignment="1">
      <alignment horizontal="center" vertical="center" readingOrder="1"/>
    </xf>
    <xf numFmtId="49" fontId="18" fillId="4" borderId="10" xfId="0" applyNumberFormat="1" applyFont="1" applyFill="1" applyBorder="1" applyAlignment="1">
      <alignment horizontal="center" vertical="center" wrapText="1"/>
    </xf>
    <xf numFmtId="49" fontId="18" fillId="4" borderId="15" xfId="0" applyNumberFormat="1" applyFont="1" applyFill="1" applyBorder="1" applyAlignment="1">
      <alignment horizontal="center" vertical="center" wrapText="1"/>
    </xf>
    <xf numFmtId="49" fontId="18" fillId="4" borderId="17" xfId="0" applyNumberFormat="1" applyFont="1" applyFill="1" applyBorder="1" applyAlignment="1">
      <alignment horizontal="center" vertical="center" wrapText="1"/>
    </xf>
    <xf numFmtId="49" fontId="17" fillId="0" borderId="10" xfId="1" applyNumberFormat="1" applyFont="1" applyBorder="1" applyAlignment="1">
      <alignment horizontal="center" vertical="center" wrapText="1"/>
    </xf>
    <xf numFmtId="49" fontId="17" fillId="0" borderId="15" xfId="1" applyNumberFormat="1" applyFont="1" applyBorder="1" applyAlignment="1">
      <alignment horizontal="center" vertical="center" wrapText="1"/>
    </xf>
    <xf numFmtId="49" fontId="17" fillId="0" borderId="11" xfId="1" applyNumberFormat="1" applyFont="1" applyBorder="1" applyAlignment="1">
      <alignment horizontal="center" vertical="center" wrapText="1"/>
    </xf>
    <xf numFmtId="49" fontId="12" fillId="0" borderId="10" xfId="0" applyNumberFormat="1" applyFont="1" applyBorder="1" applyAlignment="1">
      <alignment horizontal="left" vertical="center"/>
    </xf>
    <xf numFmtId="49" fontId="12" fillId="0" borderId="11" xfId="0" applyNumberFormat="1" applyFont="1" applyBorder="1" applyAlignment="1">
      <alignment horizontal="left" vertical="center"/>
    </xf>
    <xf numFmtId="177" fontId="12" fillId="0" borderId="18" xfId="0" applyNumberFormat="1" applyFont="1" applyBorder="1" applyAlignment="1">
      <alignment horizontal="center" vertical="center"/>
    </xf>
    <xf numFmtId="177" fontId="12" fillId="0" borderId="19" xfId="0" applyNumberFormat="1" applyFont="1" applyBorder="1" applyAlignment="1">
      <alignment horizontal="center" vertical="center"/>
    </xf>
    <xf numFmtId="177" fontId="12" fillId="2" borderId="18" xfId="0" applyNumberFormat="1" applyFont="1" applyFill="1" applyBorder="1" applyAlignment="1">
      <alignment horizontal="center" vertical="center"/>
    </xf>
    <xf numFmtId="177" fontId="12" fillId="2" borderId="20" xfId="0" applyNumberFormat="1" applyFont="1" applyFill="1" applyBorder="1" applyAlignment="1">
      <alignment horizontal="center" vertical="center"/>
    </xf>
    <xf numFmtId="49" fontId="18" fillId="0" borderId="1" xfId="0" applyNumberFormat="1" applyFont="1" applyBorder="1" applyAlignment="1">
      <alignment horizontal="left" vertical="center" wrapText="1" readingOrder="1"/>
    </xf>
    <xf numFmtId="49" fontId="18" fillId="0" borderId="7" xfId="0" applyNumberFormat="1" applyFont="1" applyBorder="1" applyAlignment="1">
      <alignment horizontal="left" vertical="center" wrapText="1" readingOrder="1"/>
    </xf>
    <xf numFmtId="49" fontId="18" fillId="0" borderId="7" xfId="0" applyNumberFormat="1" applyFont="1" applyBorder="1" applyAlignment="1">
      <alignment horizontal="center" vertical="center" readingOrder="1"/>
    </xf>
    <xf numFmtId="49" fontId="18" fillId="0" borderId="1" xfId="0" applyNumberFormat="1" applyFont="1" applyBorder="1" applyAlignment="1">
      <alignment horizontal="center" vertical="center" wrapText="1" readingOrder="1"/>
    </xf>
    <xf numFmtId="49" fontId="18" fillId="0" borderId="7" xfId="0" applyNumberFormat="1" applyFont="1" applyBorder="1" applyAlignment="1">
      <alignment horizontal="center" vertical="center" wrapText="1" readingOrder="1"/>
    </xf>
    <xf numFmtId="176" fontId="16" fillId="0" borderId="5" xfId="0" applyNumberFormat="1" applyFont="1" applyBorder="1" applyAlignment="1">
      <alignment horizontal="center" vertical="center" wrapText="1"/>
    </xf>
    <xf numFmtId="176" fontId="16"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176" fontId="15" fillId="0" borderId="1" xfId="0" applyNumberFormat="1" applyFont="1" applyBorder="1" applyAlignment="1">
      <alignment horizontal="center" vertical="center" wrapText="1"/>
    </xf>
    <xf numFmtId="0" fontId="9" fillId="0" borderId="5" xfId="0" applyFont="1" applyBorder="1" applyAlignment="1">
      <alignment horizontal="center"/>
    </xf>
    <xf numFmtId="0" fontId="9" fillId="0" borderId="1" xfId="0" applyFont="1" applyBorder="1" applyAlignment="1">
      <alignment horizontal="center"/>
    </xf>
    <xf numFmtId="0" fontId="10" fillId="0" borderId="1" xfId="0" applyFont="1" applyBorder="1" applyAlignment="1">
      <alignment horizontal="center"/>
    </xf>
    <xf numFmtId="0" fontId="10" fillId="0" borderId="6" xfId="0" applyFont="1" applyBorder="1" applyAlignment="1">
      <alignment horizontal="center"/>
    </xf>
    <xf numFmtId="14" fontId="15" fillId="0" borderId="10" xfId="0" applyNumberFormat="1" applyFont="1" applyBorder="1" applyAlignment="1">
      <alignment horizontal="center" vertical="center" wrapText="1"/>
    </xf>
    <xf numFmtId="14" fontId="15" fillId="0" borderId="11" xfId="0" applyNumberFormat="1" applyFont="1" applyBorder="1" applyAlignment="1">
      <alignment horizontal="center" vertical="center" wrapText="1"/>
    </xf>
    <xf numFmtId="176" fontId="15" fillId="0" borderId="10" xfId="0" applyNumberFormat="1" applyFont="1" applyBorder="1" applyAlignment="1">
      <alignment horizontal="center" vertical="center" wrapText="1"/>
    </xf>
    <xf numFmtId="176" fontId="15" fillId="0" borderId="11"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15" fillId="0" borderId="1" xfId="0" applyFont="1" applyBorder="1" applyAlignment="1">
      <alignment horizontal="left" vertical="center" wrapText="1"/>
    </xf>
    <xf numFmtId="14" fontId="15"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14" fontId="13" fillId="0" borderId="1" xfId="0" applyNumberFormat="1" applyFont="1" applyBorder="1" applyAlignment="1">
      <alignment horizontal="center" vertical="center"/>
    </xf>
    <xf numFmtId="14" fontId="13" fillId="2" borderId="1" xfId="0" applyNumberFormat="1" applyFont="1" applyFill="1" applyBorder="1" applyAlignment="1">
      <alignment horizontal="center" vertical="center"/>
    </xf>
    <xf numFmtId="176" fontId="13" fillId="0" borderId="1" xfId="0" applyNumberFormat="1" applyFont="1" applyBorder="1" applyAlignment="1">
      <alignment horizontal="center" vertical="center"/>
    </xf>
    <xf numFmtId="0" fontId="14" fillId="0" borderId="1" xfId="0" quotePrefix="1" applyFont="1" applyBorder="1" applyAlignment="1">
      <alignment horizontal="left" vertical="center"/>
    </xf>
    <xf numFmtId="0" fontId="13" fillId="0" borderId="1" xfId="0" applyFont="1" applyBorder="1" applyAlignment="1">
      <alignment horizontal="left" vertical="center" wrapText="1"/>
    </xf>
    <xf numFmtId="0" fontId="10" fillId="0" borderId="3" xfId="0" applyFont="1" applyBorder="1" applyAlignment="1">
      <alignment horizontal="center"/>
    </xf>
    <xf numFmtId="0" fontId="10" fillId="0" borderId="4" xfId="0" applyFont="1" applyBorder="1" applyAlignment="1">
      <alignment horizontal="center"/>
    </xf>
    <xf numFmtId="0" fontId="9" fillId="0" borderId="0" xfId="0" applyFont="1" applyAlignment="1">
      <alignment horizontal="center"/>
    </xf>
    <xf numFmtId="0" fontId="12" fillId="0" borderId="1" xfId="0" quotePrefix="1" applyFont="1" applyBorder="1" applyAlignment="1">
      <alignment horizontal="center" vertical="center"/>
    </xf>
    <xf numFmtId="0" fontId="12" fillId="0" borderId="7" xfId="0" quotePrefix="1" applyFont="1" applyBorder="1" applyAlignment="1">
      <alignment horizontal="center" vertical="center"/>
    </xf>
    <xf numFmtId="176" fontId="12" fillId="0" borderId="1" xfId="0" quotePrefix="1" applyNumberFormat="1" applyFont="1" applyBorder="1" applyAlignment="1">
      <alignment horizontal="center" vertical="center"/>
    </xf>
    <xf numFmtId="176" fontId="12" fillId="0" borderId="7" xfId="0" quotePrefix="1" applyNumberFormat="1" applyFont="1" applyBorder="1" applyAlignment="1">
      <alignment horizontal="center" vertical="center"/>
    </xf>
    <xf numFmtId="0" fontId="11" fillId="3" borderId="1" xfId="3" applyFont="1" applyFill="1" applyBorder="1" applyAlignment="1">
      <alignment horizontal="center" vertical="center"/>
    </xf>
    <xf numFmtId="14" fontId="18" fillId="0" borderId="1" xfId="4" quotePrefix="1" applyNumberFormat="1" applyFont="1" applyBorder="1" applyAlignment="1">
      <alignment horizontal="center" vertical="center"/>
    </xf>
    <xf numFmtId="176" fontId="18" fillId="0" borderId="1" xfId="4" applyNumberFormat="1" applyFont="1" applyBorder="1" applyAlignment="1">
      <alignment horizontal="center" vertical="center"/>
    </xf>
    <xf numFmtId="0" fontId="21" fillId="0" borderId="1" xfId="4" applyFont="1" applyBorder="1" applyAlignment="1">
      <alignment horizontal="center" vertical="center" wrapText="1"/>
    </xf>
    <xf numFmtId="0" fontId="18" fillId="0" borderId="1" xfId="4" applyFont="1" applyBorder="1" applyAlignment="1">
      <alignment horizontal="left" vertical="center" wrapText="1"/>
    </xf>
    <xf numFmtId="49" fontId="18" fillId="0" borderId="1" xfId="4" applyNumberFormat="1" applyFont="1" applyBorder="1" applyAlignment="1">
      <alignment horizontal="left" vertical="center" wrapText="1"/>
    </xf>
    <xf numFmtId="14" fontId="18" fillId="0" borderId="1" xfId="4" applyNumberFormat="1" applyFont="1" applyBorder="1" applyAlignment="1">
      <alignment horizontal="center" vertical="center"/>
    </xf>
    <xf numFmtId="14" fontId="18" fillId="0" borderId="1" xfId="4" applyNumberFormat="1" applyFont="1" applyBorder="1" applyAlignment="1">
      <alignment horizontal="left" vertical="center" wrapText="1"/>
    </xf>
    <xf numFmtId="49" fontId="12" fillId="0" borderId="1" xfId="3" applyNumberFormat="1" applyFont="1" applyBorder="1" applyAlignment="1">
      <alignment horizontal="center" vertical="center" wrapText="1"/>
    </xf>
    <xf numFmtId="49" fontId="12" fillId="0" borderId="1" xfId="3" applyNumberFormat="1" applyFont="1" applyBorder="1" applyAlignment="1">
      <alignment horizontal="center" vertical="center"/>
    </xf>
    <xf numFmtId="0" fontId="6" fillId="0" borderId="0" xfId="3" applyFont="1" applyAlignment="1">
      <alignment vertical="center"/>
    </xf>
    <xf numFmtId="0" fontId="12" fillId="0" borderId="1" xfId="3" applyFont="1" applyBorder="1" applyAlignment="1">
      <alignment horizontal="center" vertical="center"/>
    </xf>
    <xf numFmtId="0" fontId="6" fillId="0" borderId="1" xfId="3" applyFont="1" applyBorder="1" applyAlignment="1">
      <alignment vertical="center"/>
    </xf>
    <xf numFmtId="0" fontId="12" fillId="0" borderId="1" xfId="3" applyFont="1" applyBorder="1" applyAlignment="1">
      <alignment horizontal="center" vertical="center" wrapText="1"/>
    </xf>
    <xf numFmtId="0" fontId="18" fillId="0" borderId="1" xfId="4" applyFont="1" applyBorder="1" applyAlignment="1">
      <alignment horizontal="center" vertical="center" wrapText="1"/>
    </xf>
    <xf numFmtId="14" fontId="18" fillId="0" borderId="1" xfId="4" applyNumberFormat="1" applyFont="1" applyBorder="1" applyAlignment="1">
      <alignment horizontal="center" vertical="center"/>
    </xf>
    <xf numFmtId="0" fontId="23" fillId="0" borderId="0" xfId="3"/>
    <xf numFmtId="0" fontId="23" fillId="0" borderId="1" xfId="3" applyBorder="1"/>
    <xf numFmtId="0" fontId="12" fillId="0" borderId="47" xfId="3" applyFont="1" applyBorder="1" applyAlignment="1">
      <alignment horizontal="center" vertical="center"/>
    </xf>
    <xf numFmtId="0" fontId="12" fillId="0" borderId="40" xfId="3" applyFont="1" applyBorder="1" applyAlignment="1">
      <alignment horizontal="center" vertical="center"/>
    </xf>
    <xf numFmtId="0" fontId="12" fillId="0" borderId="41" xfId="3" applyFont="1" applyBorder="1" applyAlignment="1">
      <alignment horizontal="center" vertical="center"/>
    </xf>
    <xf numFmtId="49" fontId="12" fillId="7" borderId="7" xfId="3" applyNumberFormat="1" applyFont="1" applyFill="1" applyBorder="1" applyAlignment="1">
      <alignment horizontal="center" vertical="center"/>
    </xf>
    <xf numFmtId="177" fontId="12" fillId="7" borderId="9" xfId="3" applyNumberFormat="1" applyFont="1" applyFill="1" applyBorder="1" applyAlignment="1">
      <alignment vertical="center"/>
    </xf>
    <xf numFmtId="0" fontId="23" fillId="0" borderId="0" xfId="3" applyAlignment="1">
      <alignment horizontal="center"/>
    </xf>
    <xf numFmtId="0" fontId="23" fillId="0" borderId="0" xfId="3" applyAlignment="1">
      <alignment horizontal="left"/>
    </xf>
    <xf numFmtId="41" fontId="23" fillId="0" borderId="0" xfId="3" applyNumberFormat="1"/>
    <xf numFmtId="0" fontId="11" fillId="3" borderId="1" xfId="0" applyFont="1" applyFill="1" applyBorder="1" applyAlignment="1">
      <alignment horizontal="center" vertical="center" wrapText="1"/>
    </xf>
    <xf numFmtId="0" fontId="12" fillId="0" borderId="1" xfId="3" applyFont="1" applyBorder="1" applyAlignment="1">
      <alignment horizontal="left" vertical="center" wrapText="1"/>
    </xf>
    <xf numFmtId="0" fontId="23" fillId="0" borderId="0" xfId="3" applyAlignment="1">
      <alignment horizontal="left" wrapText="1"/>
    </xf>
    <xf numFmtId="0" fontId="23" fillId="0" borderId="0" xfId="0" applyFont="1" applyAlignment="1">
      <alignment horizontal="left" wrapText="1"/>
    </xf>
    <xf numFmtId="0" fontId="0" fillId="0" borderId="0" xfId="0" applyAlignment="1">
      <alignment horizontal="left" wrapText="1"/>
    </xf>
    <xf numFmtId="49" fontId="12" fillId="0" borderId="1" xfId="3" applyNumberFormat="1" applyFont="1" applyBorder="1" applyAlignment="1">
      <alignment horizontal="left" vertical="center" wrapText="1"/>
    </xf>
    <xf numFmtId="49" fontId="18" fillId="0" borderId="1" xfId="4" applyNumberFormat="1" applyFont="1" applyBorder="1" applyAlignment="1">
      <alignment horizontal="left" vertical="center" wrapText="1"/>
    </xf>
    <xf numFmtId="0" fontId="12" fillId="0" borderId="40" xfId="3" applyFont="1" applyBorder="1" applyAlignment="1">
      <alignment horizontal="left" vertical="center" wrapText="1"/>
    </xf>
    <xf numFmtId="0" fontId="18" fillId="0" borderId="1" xfId="4" applyFont="1" applyBorder="1" applyAlignment="1">
      <alignment horizontal="left" vertical="center" wrapText="1"/>
    </xf>
    <xf numFmtId="0" fontId="12" fillId="0" borderId="5" xfId="3" applyFont="1" applyBorder="1" applyAlignment="1">
      <alignment horizontal="center" vertical="center"/>
    </xf>
    <xf numFmtId="0" fontId="12" fillId="0" borderId="5" xfId="3" applyFont="1" applyBorder="1" applyAlignment="1">
      <alignment horizontal="center" vertical="center"/>
    </xf>
  </cellXfs>
  <cellStyles count="5">
    <cellStyle name="Normal" xfId="2" xr:uid="{121D2C91-44C1-4E85-8F3C-01402C1BB3DF}"/>
    <cellStyle name="一般" xfId="0" builtinId="0"/>
    <cellStyle name="一般 2" xfId="1" xr:uid="{00000000-0005-0000-0000-000001000000}"/>
    <cellStyle name="一般 2 2" xfId="3" xr:uid="{2DB29D87-F0E1-4235-956B-FB57310613B5}"/>
    <cellStyle name="一般 2 2 2" xfId="4" xr:uid="{6DB793CC-D16F-4EC1-B6FB-904B51EF7922}"/>
  </cellStyles>
  <dxfs count="0"/>
  <tableStyles count="0" defaultTableStyle="TableStyleMedium2" defaultPivotStyle="PivotStyleLight16"/>
  <colors>
    <mruColors>
      <color rgb="FFEFD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560F-8CB5-4094-B278-BC277D8458DA}">
  <sheetPr>
    <tabColor rgb="FFFF0000"/>
    <outlinePr summaryBelow="0" summaryRight="0"/>
    <pageSetUpPr fitToPage="1"/>
  </sheetPr>
  <dimension ref="A1:N39"/>
  <sheetViews>
    <sheetView tabSelected="1" view="pageBreakPreview" zoomScale="40" zoomScaleNormal="55" zoomScaleSheetLayoutView="40" workbookViewId="0">
      <pane ySplit="1" topLeftCell="A19" activePane="bottomLeft" state="frozen"/>
      <selection pane="bottomLeft" activeCell="T23" sqref="T23"/>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27.109375" style="1" customWidth="1"/>
    <col min="5" max="5" width="25.6640625" customWidth="1"/>
    <col min="6" max="6" width="30.33203125" style="806" customWidth="1"/>
    <col min="7" max="7" width="80.6640625" style="806" customWidth="1"/>
    <col min="8" max="8" width="25.6640625" customWidth="1"/>
    <col min="9" max="9" width="24.5546875" style="53" customWidth="1"/>
    <col min="10" max="10" width="24.5546875" style="53" hidden="1" customWidth="1"/>
    <col min="11" max="11" width="10.6640625" style="1" customWidth="1"/>
    <col min="12" max="12" width="14.109375" style="1" customWidth="1"/>
    <col min="13" max="13" width="17.6640625" style="1" hidden="1" customWidth="1"/>
    <col min="14" max="14" width="30.6640625" style="12" customWidth="1"/>
    <col min="17" max="17" width="18.6640625" bestFit="1" customWidth="1"/>
  </cols>
  <sheetData>
    <row r="1" spans="1:14" ht="50.1" customHeight="1" thickBot="1" x14ac:dyDescent="0.3">
      <c r="A1" s="384" t="s">
        <v>1197</v>
      </c>
      <c r="B1" s="385"/>
      <c r="C1" s="385"/>
      <c r="D1" s="385"/>
      <c r="E1" s="385"/>
      <c r="F1" s="385"/>
      <c r="G1" s="385"/>
      <c r="H1" s="385"/>
      <c r="I1" s="385"/>
      <c r="J1" s="385"/>
      <c r="K1" s="385"/>
      <c r="L1" s="385"/>
      <c r="M1" s="385"/>
      <c r="N1" s="386"/>
    </row>
    <row r="2" spans="1:14" s="8" customFormat="1" ht="49.8" customHeight="1" x14ac:dyDescent="0.3">
      <c r="A2" s="387" t="s">
        <v>12</v>
      </c>
      <c r="B2" s="388"/>
      <c r="C2" s="388"/>
      <c r="D2" s="388"/>
      <c r="E2" s="388"/>
      <c r="F2" s="388"/>
      <c r="G2" s="389" t="s">
        <v>1663</v>
      </c>
      <c r="H2" s="389"/>
      <c r="I2" s="389"/>
      <c r="J2" s="389"/>
      <c r="K2" s="389"/>
      <c r="L2" s="389"/>
      <c r="M2" s="389"/>
      <c r="N2" s="390"/>
    </row>
    <row r="3" spans="1:14" s="10" customFormat="1" ht="49.95" customHeight="1" x14ac:dyDescent="0.25">
      <c r="A3" s="17" t="s">
        <v>23</v>
      </c>
      <c r="B3" s="14" t="s">
        <v>653</v>
      </c>
      <c r="C3" s="15" t="s">
        <v>224</v>
      </c>
      <c r="D3" s="16" t="s">
        <v>22</v>
      </c>
      <c r="E3" s="14" t="s">
        <v>1579</v>
      </c>
      <c r="F3" s="802" t="s">
        <v>1580</v>
      </c>
      <c r="G3" s="802" t="s">
        <v>19</v>
      </c>
      <c r="H3" s="15" t="s">
        <v>1</v>
      </c>
      <c r="I3" s="15" t="s">
        <v>15</v>
      </c>
      <c r="J3" s="376" t="s">
        <v>1596</v>
      </c>
      <c r="K3" s="15" t="s">
        <v>592</v>
      </c>
      <c r="L3" s="15" t="s">
        <v>591</v>
      </c>
      <c r="M3" s="376" t="s">
        <v>1597</v>
      </c>
      <c r="N3" s="18" t="s">
        <v>804</v>
      </c>
    </row>
    <row r="4" spans="1:14" s="786" customFormat="1" ht="100.05" customHeight="1" x14ac:dyDescent="0.25">
      <c r="A4" s="811">
        <v>1</v>
      </c>
      <c r="B4" s="776"/>
      <c r="C4" s="777" t="s">
        <v>1664</v>
      </c>
      <c r="D4" s="778" t="s">
        <v>1665</v>
      </c>
      <c r="E4" s="779" t="s">
        <v>1666</v>
      </c>
      <c r="F4" s="780" t="s">
        <v>1667</v>
      </c>
      <c r="G4" s="781" t="s">
        <v>1668</v>
      </c>
      <c r="H4" s="782" t="s">
        <v>1669</v>
      </c>
      <c r="I4" s="782" t="s">
        <v>1571</v>
      </c>
      <c r="J4" s="783" t="s">
        <v>1670</v>
      </c>
      <c r="K4" s="784" t="s">
        <v>639</v>
      </c>
      <c r="L4" s="784">
        <v>1</v>
      </c>
      <c r="M4" s="785">
        <v>370</v>
      </c>
      <c r="N4" s="41">
        <f t="shared" ref="N4:N31" si="0">L4*M4</f>
        <v>370</v>
      </c>
    </row>
    <row r="5" spans="1:14" s="786" customFormat="1" ht="100.05" customHeight="1" x14ac:dyDescent="0.25">
      <c r="A5" s="811">
        <v>2</v>
      </c>
      <c r="B5" s="776"/>
      <c r="C5" s="782" t="s">
        <v>1669</v>
      </c>
      <c r="D5" s="778" t="s">
        <v>1671</v>
      </c>
      <c r="E5" s="779" t="s">
        <v>1666</v>
      </c>
      <c r="F5" s="780" t="s">
        <v>1672</v>
      </c>
      <c r="G5" s="781" t="s">
        <v>1673</v>
      </c>
      <c r="H5" s="782" t="s">
        <v>1674</v>
      </c>
      <c r="I5" s="782" t="s">
        <v>1675</v>
      </c>
      <c r="J5" s="783" t="s">
        <v>1676</v>
      </c>
      <c r="K5" s="784" t="s">
        <v>1677</v>
      </c>
      <c r="L5" s="784">
        <v>1</v>
      </c>
      <c r="M5" s="785">
        <v>828</v>
      </c>
      <c r="N5" s="41">
        <f t="shared" si="0"/>
        <v>828</v>
      </c>
    </row>
    <row r="6" spans="1:14" s="786" customFormat="1" ht="100.05" customHeight="1" x14ac:dyDescent="0.25">
      <c r="A6" s="811">
        <v>3</v>
      </c>
      <c r="B6" s="776"/>
      <c r="C6" s="782" t="s">
        <v>1669</v>
      </c>
      <c r="D6" s="778" t="s">
        <v>1678</v>
      </c>
      <c r="E6" s="779" t="s">
        <v>1666</v>
      </c>
      <c r="F6" s="780" t="s">
        <v>1679</v>
      </c>
      <c r="G6" s="781" t="s">
        <v>1680</v>
      </c>
      <c r="H6" s="782" t="s">
        <v>1674</v>
      </c>
      <c r="I6" s="782" t="s">
        <v>1681</v>
      </c>
      <c r="J6" s="783" t="s">
        <v>1682</v>
      </c>
      <c r="K6" s="784" t="s">
        <v>637</v>
      </c>
      <c r="L6" s="784">
        <v>1</v>
      </c>
      <c r="M6" s="785">
        <v>572</v>
      </c>
      <c r="N6" s="41">
        <f t="shared" si="0"/>
        <v>572</v>
      </c>
    </row>
    <row r="7" spans="1:14" s="786" customFormat="1" ht="100.05" customHeight="1" x14ac:dyDescent="0.25">
      <c r="A7" s="811">
        <v>4</v>
      </c>
      <c r="B7" s="776"/>
      <c r="C7" s="782" t="s">
        <v>1669</v>
      </c>
      <c r="D7" s="778" t="s">
        <v>1683</v>
      </c>
      <c r="E7" s="779" t="s">
        <v>1666</v>
      </c>
      <c r="F7" s="780" t="s">
        <v>1684</v>
      </c>
      <c r="G7" s="781" t="s">
        <v>1685</v>
      </c>
      <c r="H7" s="782" t="s">
        <v>1674</v>
      </c>
      <c r="I7" s="782" t="s">
        <v>1686</v>
      </c>
      <c r="J7" s="783" t="s">
        <v>1687</v>
      </c>
      <c r="K7" s="784" t="s">
        <v>637</v>
      </c>
      <c r="L7" s="784">
        <v>1</v>
      </c>
      <c r="M7" s="785">
        <v>268</v>
      </c>
      <c r="N7" s="41">
        <f t="shared" si="0"/>
        <v>268</v>
      </c>
    </row>
    <row r="8" spans="1:14" s="786" customFormat="1" ht="49.95" customHeight="1" x14ac:dyDescent="0.25">
      <c r="A8" s="812">
        <v>5</v>
      </c>
      <c r="B8" s="776"/>
      <c r="C8" s="787" t="s">
        <v>1688</v>
      </c>
      <c r="D8" s="787" t="s">
        <v>1689</v>
      </c>
      <c r="E8" s="787" t="s">
        <v>1690</v>
      </c>
      <c r="F8" s="803" t="s">
        <v>1691</v>
      </c>
      <c r="G8" s="807" t="s">
        <v>1692</v>
      </c>
      <c r="H8" s="787" t="s">
        <v>1674</v>
      </c>
      <c r="I8" s="782" t="s">
        <v>1567</v>
      </c>
      <c r="J8" s="783" t="s">
        <v>1695</v>
      </c>
      <c r="K8" s="784" t="s">
        <v>1266</v>
      </c>
      <c r="L8" s="784">
        <v>135</v>
      </c>
      <c r="M8" s="785">
        <v>71</v>
      </c>
      <c r="N8" s="41">
        <f t="shared" si="0"/>
        <v>9585</v>
      </c>
    </row>
    <row r="9" spans="1:14" s="786" customFormat="1" ht="49.95" customHeight="1" x14ac:dyDescent="0.25">
      <c r="A9" s="812"/>
      <c r="B9" s="788"/>
      <c r="C9" s="787"/>
      <c r="D9" s="787"/>
      <c r="E9" s="787"/>
      <c r="F9" s="803"/>
      <c r="G9" s="807"/>
      <c r="H9" s="787"/>
      <c r="I9" s="782" t="s">
        <v>1693</v>
      </c>
      <c r="J9" s="783" t="s">
        <v>1694</v>
      </c>
      <c r="K9" s="784" t="s">
        <v>1371</v>
      </c>
      <c r="L9" s="784">
        <v>1</v>
      </c>
      <c r="M9" s="785">
        <v>3216</v>
      </c>
      <c r="N9" s="41">
        <f t="shared" si="0"/>
        <v>3216</v>
      </c>
    </row>
    <row r="10" spans="1:14" s="786" customFormat="1" ht="100.05" customHeight="1" x14ac:dyDescent="0.25">
      <c r="A10" s="811">
        <v>6</v>
      </c>
      <c r="B10" s="776"/>
      <c r="C10" s="782" t="s">
        <v>1688</v>
      </c>
      <c r="D10" s="778" t="s">
        <v>1696</v>
      </c>
      <c r="E10" s="779" t="s">
        <v>1666</v>
      </c>
      <c r="F10" s="780" t="s">
        <v>1697</v>
      </c>
      <c r="G10" s="781" t="s">
        <v>1698</v>
      </c>
      <c r="H10" s="782" t="s">
        <v>1674</v>
      </c>
      <c r="I10" s="782" t="s">
        <v>1111</v>
      </c>
      <c r="J10" s="783" t="s">
        <v>1699</v>
      </c>
      <c r="K10" s="784" t="s">
        <v>637</v>
      </c>
      <c r="L10" s="784">
        <v>1</v>
      </c>
      <c r="M10" s="785">
        <v>1319</v>
      </c>
      <c r="N10" s="41">
        <f t="shared" si="0"/>
        <v>1319</v>
      </c>
    </row>
    <row r="11" spans="1:14" s="786" customFormat="1" ht="100.05" customHeight="1" x14ac:dyDescent="0.25">
      <c r="A11" s="811">
        <v>7</v>
      </c>
      <c r="B11" s="776"/>
      <c r="C11" s="782" t="s">
        <v>1700</v>
      </c>
      <c r="D11" s="778" t="s">
        <v>1701</v>
      </c>
      <c r="E11" s="779" t="s">
        <v>1702</v>
      </c>
      <c r="F11" s="780" t="s">
        <v>1703</v>
      </c>
      <c r="G11" s="781" t="s">
        <v>1704</v>
      </c>
      <c r="H11" s="777" t="s">
        <v>1705</v>
      </c>
      <c r="I11" s="782" t="s">
        <v>1541</v>
      </c>
      <c r="J11" s="783" t="s">
        <v>1706</v>
      </c>
      <c r="K11" s="784" t="s">
        <v>1407</v>
      </c>
      <c r="L11" s="784">
        <v>7</v>
      </c>
      <c r="M11" s="785">
        <v>292</v>
      </c>
      <c r="N11" s="41">
        <f t="shared" si="0"/>
        <v>2044</v>
      </c>
    </row>
    <row r="12" spans="1:14" s="786" customFormat="1" ht="100.05" customHeight="1" x14ac:dyDescent="0.25">
      <c r="A12" s="811">
        <v>8</v>
      </c>
      <c r="B12" s="776"/>
      <c r="C12" s="782" t="s">
        <v>1707</v>
      </c>
      <c r="D12" s="778" t="s">
        <v>1708</v>
      </c>
      <c r="E12" s="779" t="s">
        <v>1666</v>
      </c>
      <c r="F12" s="780" t="s">
        <v>1709</v>
      </c>
      <c r="G12" s="781" t="s">
        <v>1710</v>
      </c>
      <c r="H12" s="782" t="s">
        <v>1711</v>
      </c>
      <c r="I12" s="782" t="s">
        <v>1540</v>
      </c>
      <c r="J12" s="783" t="s">
        <v>1712</v>
      </c>
      <c r="K12" s="784" t="s">
        <v>941</v>
      </c>
      <c r="L12" s="784">
        <v>1</v>
      </c>
      <c r="M12" s="785">
        <v>697</v>
      </c>
      <c r="N12" s="41">
        <f t="shared" si="0"/>
        <v>697</v>
      </c>
    </row>
    <row r="13" spans="1:14" s="786" customFormat="1" ht="34.950000000000003" customHeight="1" x14ac:dyDescent="0.25">
      <c r="A13" s="812">
        <v>9</v>
      </c>
      <c r="B13" s="776"/>
      <c r="C13" s="787" t="s">
        <v>1707</v>
      </c>
      <c r="D13" s="787" t="s">
        <v>1713</v>
      </c>
      <c r="E13" s="789" t="s">
        <v>1714</v>
      </c>
      <c r="F13" s="803" t="s">
        <v>1715</v>
      </c>
      <c r="G13" s="803" t="s">
        <v>1716</v>
      </c>
      <c r="H13" s="787" t="s">
        <v>1717</v>
      </c>
      <c r="I13" s="782" t="s">
        <v>1571</v>
      </c>
      <c r="J13" s="783" t="s">
        <v>1670</v>
      </c>
      <c r="K13" s="784" t="s">
        <v>639</v>
      </c>
      <c r="L13" s="784">
        <v>1</v>
      </c>
      <c r="M13" s="785">
        <v>370</v>
      </c>
      <c r="N13" s="41">
        <f t="shared" si="0"/>
        <v>370</v>
      </c>
    </row>
    <row r="14" spans="1:14" s="786" customFormat="1" ht="34.950000000000003" customHeight="1" x14ac:dyDescent="0.25">
      <c r="A14" s="812"/>
      <c r="B14" s="788"/>
      <c r="C14" s="787"/>
      <c r="D14" s="787"/>
      <c r="E14" s="787"/>
      <c r="F14" s="803"/>
      <c r="G14" s="803"/>
      <c r="H14" s="787"/>
      <c r="I14" s="782" t="s">
        <v>1681</v>
      </c>
      <c r="J14" s="783" t="s">
        <v>1682</v>
      </c>
      <c r="K14" s="784" t="s">
        <v>637</v>
      </c>
      <c r="L14" s="784">
        <v>1</v>
      </c>
      <c r="M14" s="785">
        <v>572</v>
      </c>
      <c r="N14" s="41">
        <f t="shared" si="0"/>
        <v>572</v>
      </c>
    </row>
    <row r="15" spans="1:14" s="786" customFormat="1" ht="34.950000000000003" customHeight="1" x14ac:dyDescent="0.25">
      <c r="A15" s="812"/>
      <c r="B15" s="788"/>
      <c r="C15" s="787"/>
      <c r="D15" s="787"/>
      <c r="E15" s="787"/>
      <c r="F15" s="803"/>
      <c r="G15" s="803"/>
      <c r="H15" s="787"/>
      <c r="I15" s="782" t="s">
        <v>1720</v>
      </c>
      <c r="J15" s="783" t="s">
        <v>1721</v>
      </c>
      <c r="K15" s="784" t="s">
        <v>941</v>
      </c>
      <c r="L15" s="784">
        <v>1</v>
      </c>
      <c r="M15" s="785">
        <v>264</v>
      </c>
      <c r="N15" s="41">
        <f t="shared" si="0"/>
        <v>264</v>
      </c>
    </row>
    <row r="16" spans="1:14" s="786" customFormat="1" ht="34.950000000000003" customHeight="1" x14ac:dyDescent="0.25">
      <c r="A16" s="812"/>
      <c r="B16" s="788"/>
      <c r="C16" s="787"/>
      <c r="D16" s="787"/>
      <c r="E16" s="787"/>
      <c r="F16" s="803"/>
      <c r="G16" s="803"/>
      <c r="H16" s="787"/>
      <c r="I16" s="782" t="s">
        <v>1644</v>
      </c>
      <c r="J16" s="783" t="s">
        <v>1719</v>
      </c>
      <c r="K16" s="784" t="s">
        <v>1415</v>
      </c>
      <c r="L16" s="784">
        <v>3</v>
      </c>
      <c r="M16" s="785">
        <v>721</v>
      </c>
      <c r="N16" s="41">
        <f t="shared" si="0"/>
        <v>2163</v>
      </c>
    </row>
    <row r="17" spans="1:14" s="786" customFormat="1" ht="34.950000000000003" customHeight="1" x14ac:dyDescent="0.25">
      <c r="A17" s="812"/>
      <c r="B17" s="788"/>
      <c r="C17" s="787"/>
      <c r="D17" s="787"/>
      <c r="E17" s="787"/>
      <c r="F17" s="803"/>
      <c r="G17" s="803"/>
      <c r="H17" s="787"/>
      <c r="I17" s="782" t="s">
        <v>1645</v>
      </c>
      <c r="J17" s="783" t="s">
        <v>1718</v>
      </c>
      <c r="K17" s="784" t="s">
        <v>1415</v>
      </c>
      <c r="L17" s="784">
        <v>3</v>
      </c>
      <c r="M17" s="785">
        <v>175</v>
      </c>
      <c r="N17" s="41">
        <f t="shared" si="0"/>
        <v>525</v>
      </c>
    </row>
    <row r="18" spans="1:14" s="786" customFormat="1" ht="100.05" customHeight="1" x14ac:dyDescent="0.25">
      <c r="A18" s="811">
        <v>10</v>
      </c>
      <c r="B18" s="776"/>
      <c r="C18" s="782" t="s">
        <v>1707</v>
      </c>
      <c r="D18" s="778" t="s">
        <v>1722</v>
      </c>
      <c r="E18" s="779" t="s">
        <v>1666</v>
      </c>
      <c r="F18" s="780" t="s">
        <v>1723</v>
      </c>
      <c r="G18" s="781" t="s">
        <v>1724</v>
      </c>
      <c r="H18" s="782" t="s">
        <v>1717</v>
      </c>
      <c r="I18" s="782" t="s">
        <v>1111</v>
      </c>
      <c r="J18" s="783" t="s">
        <v>1699</v>
      </c>
      <c r="K18" s="784" t="s">
        <v>637</v>
      </c>
      <c r="L18" s="784">
        <v>1</v>
      </c>
      <c r="M18" s="785">
        <v>1319</v>
      </c>
      <c r="N18" s="41">
        <f t="shared" si="0"/>
        <v>1319</v>
      </c>
    </row>
    <row r="19" spans="1:14" s="786" customFormat="1" ht="49.95" customHeight="1" x14ac:dyDescent="0.25">
      <c r="A19" s="812">
        <v>11</v>
      </c>
      <c r="B19" s="776"/>
      <c r="C19" s="787" t="s">
        <v>1725</v>
      </c>
      <c r="D19" s="787" t="s">
        <v>1726</v>
      </c>
      <c r="E19" s="789" t="s">
        <v>1714</v>
      </c>
      <c r="F19" s="803" t="s">
        <v>1727</v>
      </c>
      <c r="G19" s="803" t="s">
        <v>1728</v>
      </c>
      <c r="H19" s="787" t="s">
        <v>1729</v>
      </c>
      <c r="I19" s="782" t="s">
        <v>1572</v>
      </c>
      <c r="J19" s="783" t="s">
        <v>1638</v>
      </c>
      <c r="K19" s="784" t="s">
        <v>1407</v>
      </c>
      <c r="L19" s="784">
        <v>1</v>
      </c>
      <c r="M19" s="785">
        <v>12180</v>
      </c>
      <c r="N19" s="41">
        <f t="shared" si="0"/>
        <v>12180</v>
      </c>
    </row>
    <row r="20" spans="1:14" s="786" customFormat="1" ht="49.95" customHeight="1" x14ac:dyDescent="0.25">
      <c r="A20" s="812"/>
      <c r="B20" s="788"/>
      <c r="C20" s="787"/>
      <c r="D20" s="787"/>
      <c r="E20" s="787"/>
      <c r="F20" s="803"/>
      <c r="G20" s="803"/>
      <c r="H20" s="787"/>
      <c r="I20" s="782" t="s">
        <v>1362</v>
      </c>
      <c r="J20" s="783" t="s">
        <v>1730</v>
      </c>
      <c r="K20" s="784" t="s">
        <v>1047</v>
      </c>
      <c r="L20" s="784">
        <v>1</v>
      </c>
      <c r="M20" s="785">
        <v>928</v>
      </c>
      <c r="N20" s="41">
        <f t="shared" si="0"/>
        <v>928</v>
      </c>
    </row>
    <row r="21" spans="1:14" s="786" customFormat="1" ht="139.94999999999999" customHeight="1" x14ac:dyDescent="0.25">
      <c r="A21" s="811">
        <v>12</v>
      </c>
      <c r="B21" s="776"/>
      <c r="C21" s="782" t="s">
        <v>1725</v>
      </c>
      <c r="D21" s="778" t="s">
        <v>1731</v>
      </c>
      <c r="E21" s="779" t="s">
        <v>1732</v>
      </c>
      <c r="F21" s="780" t="s">
        <v>1733</v>
      </c>
      <c r="G21" s="781" t="s">
        <v>1734</v>
      </c>
      <c r="H21" s="782" t="s">
        <v>1735</v>
      </c>
      <c r="I21" s="782" t="s">
        <v>1642</v>
      </c>
      <c r="J21" s="783" t="s">
        <v>1736</v>
      </c>
      <c r="K21" s="784" t="s">
        <v>637</v>
      </c>
      <c r="L21" s="784">
        <v>2</v>
      </c>
      <c r="M21" s="785">
        <v>1233</v>
      </c>
      <c r="N21" s="41">
        <f t="shared" si="0"/>
        <v>2466</v>
      </c>
    </row>
    <row r="22" spans="1:14" s="786" customFormat="1" ht="49.95" customHeight="1" x14ac:dyDescent="0.25">
      <c r="A22" s="812">
        <v>13</v>
      </c>
      <c r="B22" s="776"/>
      <c r="C22" s="787" t="s">
        <v>1725</v>
      </c>
      <c r="D22" s="787" t="s">
        <v>1737</v>
      </c>
      <c r="E22" s="789" t="s">
        <v>1714</v>
      </c>
      <c r="F22" s="803" t="s">
        <v>1667</v>
      </c>
      <c r="G22" s="808" t="s">
        <v>1738</v>
      </c>
      <c r="H22" s="787" t="s">
        <v>1729</v>
      </c>
      <c r="I22" s="782" t="s">
        <v>1572</v>
      </c>
      <c r="J22" s="783" t="s">
        <v>1739</v>
      </c>
      <c r="K22" s="784" t="s">
        <v>1407</v>
      </c>
      <c r="L22" s="784">
        <v>1</v>
      </c>
      <c r="M22" s="785">
        <v>12180</v>
      </c>
      <c r="N22" s="41">
        <f t="shared" si="0"/>
        <v>12180</v>
      </c>
    </row>
    <row r="23" spans="1:14" s="786" customFormat="1" ht="49.95" customHeight="1" x14ac:dyDescent="0.25">
      <c r="A23" s="812"/>
      <c r="B23" s="788"/>
      <c r="C23" s="787"/>
      <c r="D23" s="787"/>
      <c r="E23" s="787"/>
      <c r="F23" s="803"/>
      <c r="G23" s="808"/>
      <c r="H23" s="787"/>
      <c r="I23" s="782" t="s">
        <v>1362</v>
      </c>
      <c r="J23" s="783" t="s">
        <v>1730</v>
      </c>
      <c r="K23" s="784" t="s">
        <v>1047</v>
      </c>
      <c r="L23" s="784">
        <v>1</v>
      </c>
      <c r="M23" s="785">
        <v>928</v>
      </c>
      <c r="N23" s="41">
        <f t="shared" si="0"/>
        <v>928</v>
      </c>
    </row>
    <row r="24" spans="1:14" s="786" customFormat="1" ht="34.950000000000003" customHeight="1" x14ac:dyDescent="0.25">
      <c r="A24" s="812">
        <v>14</v>
      </c>
      <c r="B24" s="776"/>
      <c r="C24" s="790" t="s">
        <v>1735</v>
      </c>
      <c r="D24" s="790" t="s">
        <v>1740</v>
      </c>
      <c r="E24" s="790" t="s">
        <v>1732</v>
      </c>
      <c r="F24" s="810" t="s">
        <v>1741</v>
      </c>
      <c r="G24" s="808" t="s">
        <v>1742</v>
      </c>
      <c r="H24" s="791" t="s">
        <v>1729</v>
      </c>
      <c r="I24" s="782" t="s">
        <v>1541</v>
      </c>
      <c r="J24" s="783" t="s">
        <v>1706</v>
      </c>
      <c r="K24" s="784" t="s">
        <v>1407</v>
      </c>
      <c r="L24" s="784">
        <v>3</v>
      </c>
      <c r="M24" s="785">
        <v>292</v>
      </c>
      <c r="N24" s="41">
        <f t="shared" si="0"/>
        <v>876</v>
      </c>
    </row>
    <row r="25" spans="1:14" s="786" customFormat="1" ht="34.950000000000003" customHeight="1" x14ac:dyDescent="0.25">
      <c r="A25" s="812"/>
      <c r="B25" s="788"/>
      <c r="C25" s="790"/>
      <c r="D25" s="790"/>
      <c r="E25" s="790"/>
      <c r="F25" s="810"/>
      <c r="G25" s="808"/>
      <c r="H25" s="791"/>
      <c r="I25" s="782" t="s">
        <v>1681</v>
      </c>
      <c r="J25" s="783" t="s">
        <v>1682</v>
      </c>
      <c r="K25" s="784" t="s">
        <v>637</v>
      </c>
      <c r="L25" s="784">
        <v>2</v>
      </c>
      <c r="M25" s="785">
        <v>572</v>
      </c>
      <c r="N25" s="41">
        <f t="shared" si="0"/>
        <v>1144</v>
      </c>
    </row>
    <row r="26" spans="1:14" s="786" customFormat="1" ht="34.950000000000003" customHeight="1" x14ac:dyDescent="0.25">
      <c r="A26" s="812"/>
      <c r="B26" s="788"/>
      <c r="C26" s="790"/>
      <c r="D26" s="790"/>
      <c r="E26" s="790"/>
      <c r="F26" s="810"/>
      <c r="G26" s="808"/>
      <c r="H26" s="791"/>
      <c r="I26" s="782" t="s">
        <v>1642</v>
      </c>
      <c r="J26" s="783" t="s">
        <v>1736</v>
      </c>
      <c r="K26" s="784" t="s">
        <v>637</v>
      </c>
      <c r="L26" s="784">
        <v>7</v>
      </c>
      <c r="M26" s="785">
        <v>1233</v>
      </c>
      <c r="N26" s="41">
        <f t="shared" si="0"/>
        <v>8631</v>
      </c>
    </row>
    <row r="27" spans="1:14" s="792" customFormat="1" ht="49.95" customHeight="1" x14ac:dyDescent="0.25">
      <c r="A27" s="812">
        <v>15</v>
      </c>
      <c r="B27" s="776"/>
      <c r="C27" s="787" t="s">
        <v>1735</v>
      </c>
      <c r="D27" s="787" t="s">
        <v>1743</v>
      </c>
      <c r="E27" s="787" t="s">
        <v>1732</v>
      </c>
      <c r="F27" s="803" t="s">
        <v>1744</v>
      </c>
      <c r="G27" s="803" t="s">
        <v>1745</v>
      </c>
      <c r="H27" s="787" t="s">
        <v>1729</v>
      </c>
      <c r="I27" s="782" t="s">
        <v>1681</v>
      </c>
      <c r="J27" s="783" t="s">
        <v>1682</v>
      </c>
      <c r="K27" s="784" t="s">
        <v>637</v>
      </c>
      <c r="L27" s="784">
        <v>4</v>
      </c>
      <c r="M27" s="785">
        <v>572</v>
      </c>
      <c r="N27" s="41">
        <f t="shared" si="0"/>
        <v>2288</v>
      </c>
    </row>
    <row r="28" spans="1:14" s="792" customFormat="1" ht="49.95" customHeight="1" x14ac:dyDescent="0.25">
      <c r="A28" s="812"/>
      <c r="B28" s="793"/>
      <c r="C28" s="787"/>
      <c r="D28" s="787"/>
      <c r="E28" s="787"/>
      <c r="F28" s="803"/>
      <c r="G28" s="803"/>
      <c r="H28" s="787"/>
      <c r="I28" s="782" t="s">
        <v>1642</v>
      </c>
      <c r="J28" s="783" t="s">
        <v>1736</v>
      </c>
      <c r="K28" s="784" t="s">
        <v>637</v>
      </c>
      <c r="L28" s="784">
        <v>4</v>
      </c>
      <c r="M28" s="785">
        <v>1233</v>
      </c>
      <c r="N28" s="41">
        <f t="shared" si="0"/>
        <v>4932</v>
      </c>
    </row>
    <row r="29" spans="1:14" s="792" customFormat="1" ht="79.95" customHeight="1" x14ac:dyDescent="0.25">
      <c r="A29" s="811">
        <v>16</v>
      </c>
      <c r="B29" s="776"/>
      <c r="C29" s="782" t="s">
        <v>1735</v>
      </c>
      <c r="D29" s="778" t="s">
        <v>1746</v>
      </c>
      <c r="E29" s="779" t="s">
        <v>1732</v>
      </c>
      <c r="F29" s="780" t="s">
        <v>1747</v>
      </c>
      <c r="G29" s="781" t="s">
        <v>1748</v>
      </c>
      <c r="H29" s="782" t="s">
        <v>1729</v>
      </c>
      <c r="I29" s="782" t="s">
        <v>1681</v>
      </c>
      <c r="J29" s="783" t="s">
        <v>1682</v>
      </c>
      <c r="K29" s="784" t="s">
        <v>637</v>
      </c>
      <c r="L29" s="784">
        <v>2</v>
      </c>
      <c r="M29" s="785">
        <v>572</v>
      </c>
      <c r="N29" s="41">
        <f t="shared" si="0"/>
        <v>1144</v>
      </c>
    </row>
    <row r="30" spans="1:14" s="792" customFormat="1" ht="90" customHeight="1" x14ac:dyDescent="0.25">
      <c r="A30" s="811">
        <v>17</v>
      </c>
      <c r="B30" s="776"/>
      <c r="C30" s="782" t="s">
        <v>1749</v>
      </c>
      <c r="D30" s="778" t="s">
        <v>1750</v>
      </c>
      <c r="E30" s="779" t="s">
        <v>1751</v>
      </c>
      <c r="F30" s="780" t="s">
        <v>1752</v>
      </c>
      <c r="G30" s="781" t="s">
        <v>1753</v>
      </c>
      <c r="H30" s="782" t="s">
        <v>1754</v>
      </c>
      <c r="I30" s="782" t="s">
        <v>1642</v>
      </c>
      <c r="J30" s="783" t="s">
        <v>1736</v>
      </c>
      <c r="K30" s="784" t="s">
        <v>637</v>
      </c>
      <c r="L30" s="784">
        <v>12</v>
      </c>
      <c r="M30" s="785">
        <v>1233</v>
      </c>
      <c r="N30" s="41">
        <f t="shared" si="0"/>
        <v>14796</v>
      </c>
    </row>
    <row r="31" spans="1:14" s="792" customFormat="1" ht="90" customHeight="1" x14ac:dyDescent="0.25">
      <c r="A31" s="811">
        <v>18</v>
      </c>
      <c r="B31" s="776"/>
      <c r="C31" s="782" t="s">
        <v>1749</v>
      </c>
      <c r="D31" s="778" t="s">
        <v>1755</v>
      </c>
      <c r="E31" s="779" t="s">
        <v>1751</v>
      </c>
      <c r="F31" s="780" t="s">
        <v>1756</v>
      </c>
      <c r="G31" s="781" t="s">
        <v>1757</v>
      </c>
      <c r="H31" s="782" t="s">
        <v>1754</v>
      </c>
      <c r="I31" s="782" t="s">
        <v>1540</v>
      </c>
      <c r="J31" s="783" t="s">
        <v>1712</v>
      </c>
      <c r="K31" s="784" t="s">
        <v>941</v>
      </c>
      <c r="L31" s="784">
        <v>1</v>
      </c>
      <c r="M31" s="785">
        <v>697</v>
      </c>
      <c r="N31" s="41">
        <f t="shared" si="0"/>
        <v>697</v>
      </c>
    </row>
    <row r="32" spans="1:14" s="792" customFormat="1" ht="64.95" customHeight="1" thickBot="1" x14ac:dyDescent="0.3">
      <c r="A32" s="794"/>
      <c r="B32" s="795"/>
      <c r="C32" s="795"/>
      <c r="D32" s="795"/>
      <c r="E32" s="795"/>
      <c r="F32" s="809"/>
      <c r="G32" s="809"/>
      <c r="H32" s="796"/>
      <c r="I32" s="391" t="s">
        <v>805</v>
      </c>
      <c r="J32" s="391"/>
      <c r="K32" s="391"/>
      <c r="L32" s="391"/>
      <c r="M32" s="797"/>
      <c r="N32" s="798">
        <f>SUM(N4:N31)</f>
        <v>87302</v>
      </c>
    </row>
    <row r="33" spans="1:14" s="792" customFormat="1" ht="13.2" x14ac:dyDescent="0.25">
      <c r="A33" s="799"/>
      <c r="D33" s="799"/>
      <c r="F33" s="804"/>
      <c r="G33" s="804"/>
      <c r="I33" s="800"/>
      <c r="J33" s="800"/>
      <c r="K33" s="799"/>
      <c r="L33" s="799"/>
      <c r="M33" s="799"/>
      <c r="N33" s="801"/>
    </row>
    <row r="34" spans="1:14" s="792" customFormat="1" ht="13.2" x14ac:dyDescent="0.25">
      <c r="A34" s="799"/>
      <c r="D34" s="799"/>
      <c r="F34" s="804"/>
      <c r="G34" s="804"/>
      <c r="I34" s="800"/>
      <c r="J34" s="800"/>
      <c r="K34" s="799"/>
      <c r="L34" s="799"/>
      <c r="M34" s="799"/>
      <c r="N34" s="801"/>
    </row>
    <row r="35" spans="1:14" s="792" customFormat="1" ht="13.2" x14ac:dyDescent="0.25">
      <c r="A35" s="799"/>
      <c r="D35" s="799"/>
      <c r="F35" s="804"/>
      <c r="G35" s="804"/>
      <c r="I35" s="800"/>
      <c r="J35" s="800"/>
      <c r="K35" s="799"/>
      <c r="L35" s="799"/>
      <c r="M35" s="799"/>
      <c r="N35" s="801"/>
    </row>
    <row r="36" spans="1:14" s="792" customFormat="1" ht="13.2" x14ac:dyDescent="0.25">
      <c r="A36" s="799"/>
      <c r="D36" s="799"/>
      <c r="F36" s="804"/>
      <c r="G36" s="804"/>
      <c r="I36" s="800"/>
      <c r="J36" s="800"/>
      <c r="K36" s="799"/>
      <c r="L36" s="799"/>
      <c r="M36" s="799"/>
      <c r="N36" s="801"/>
    </row>
    <row r="39" spans="1:14" ht="15.75" customHeight="1" x14ac:dyDescent="0.25">
      <c r="G39" s="805" t="s">
        <v>172</v>
      </c>
    </row>
  </sheetData>
  <autoFilter ref="A3:N3" xr:uid="{00000000-0009-0000-0000-000000000000}"/>
  <mergeCells count="46">
    <mergeCell ref="H27:H28"/>
    <mergeCell ref="I32:L32"/>
    <mergeCell ref="A27:A28"/>
    <mergeCell ref="C27:C28"/>
    <mergeCell ref="D27:D28"/>
    <mergeCell ref="E27:E28"/>
    <mergeCell ref="F27:F28"/>
    <mergeCell ref="G27:G28"/>
    <mergeCell ref="H22:H23"/>
    <mergeCell ref="A24:A26"/>
    <mergeCell ref="C24:C26"/>
    <mergeCell ref="D24:D26"/>
    <mergeCell ref="E24:E26"/>
    <mergeCell ref="F24:F26"/>
    <mergeCell ref="G24:G26"/>
    <mergeCell ref="H24:H26"/>
    <mergeCell ref="A22:A23"/>
    <mergeCell ref="C22:C23"/>
    <mergeCell ref="D22:D23"/>
    <mergeCell ref="E22:E23"/>
    <mergeCell ref="F22:F23"/>
    <mergeCell ref="G22:G23"/>
    <mergeCell ref="H13:H17"/>
    <mergeCell ref="A19:A20"/>
    <mergeCell ref="C19:C20"/>
    <mergeCell ref="D19:D20"/>
    <mergeCell ref="E19:E20"/>
    <mergeCell ref="F19:F20"/>
    <mergeCell ref="G19:G20"/>
    <mergeCell ref="H19:H20"/>
    <mergeCell ref="A13:A17"/>
    <mergeCell ref="C13:C17"/>
    <mergeCell ref="D13:D17"/>
    <mergeCell ref="E13:E17"/>
    <mergeCell ref="F13:F17"/>
    <mergeCell ref="G13:G17"/>
    <mergeCell ref="A1:N1"/>
    <mergeCell ref="A2:F2"/>
    <mergeCell ref="G2:N2"/>
    <mergeCell ref="A8:A9"/>
    <mergeCell ref="C8:C9"/>
    <mergeCell ref="D8:D9"/>
    <mergeCell ref="E8:E9"/>
    <mergeCell ref="F8:F9"/>
    <mergeCell ref="G8:G9"/>
    <mergeCell ref="H8:H9"/>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rowBreaks count="1" manualBreakCount="1">
    <brk id="17"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1A18-868A-44C6-9195-3AA5DCF3D453}">
  <sheetPr>
    <outlinePr summaryBelow="0" summaryRight="0"/>
    <pageSetUpPr fitToPage="1"/>
  </sheetPr>
  <dimension ref="A1:N36"/>
  <sheetViews>
    <sheetView view="pageBreakPreview" zoomScale="40" zoomScaleNormal="40" zoomScaleSheetLayoutView="40" workbookViewId="0">
      <pane ySplit="1" topLeftCell="A16" activePane="bottomLeft" state="frozen"/>
      <selection pane="bottomLeft" activeCell="I26" sqref="I26:L26"/>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27.109375" style="1" customWidth="1"/>
    <col min="5" max="5" width="25.6640625" customWidth="1"/>
    <col min="6" max="6" width="30.33203125" customWidth="1"/>
    <col min="7" max="7" width="80.6640625" style="53" customWidth="1"/>
    <col min="8" max="8" width="25.6640625" customWidth="1"/>
    <col min="9" max="9" width="24.5546875" style="53" customWidth="1"/>
    <col min="10" max="10" width="24.5546875" style="53" hidden="1" customWidth="1"/>
    <col min="11" max="11" width="10.77734375" style="1" customWidth="1"/>
    <col min="12" max="12" width="14.109375" style="1" customWidth="1"/>
    <col min="13" max="13" width="17.6640625" style="1" hidden="1" customWidth="1"/>
    <col min="14" max="14" width="30.6640625" style="12" customWidth="1"/>
    <col min="17" max="17" width="18.77734375" bestFit="1" customWidth="1"/>
  </cols>
  <sheetData>
    <row r="1" spans="1:14" ht="50.1" customHeight="1" thickBot="1" x14ac:dyDescent="0.3">
      <c r="A1" s="384" t="s">
        <v>1197</v>
      </c>
      <c r="B1" s="385"/>
      <c r="C1" s="385"/>
      <c r="D1" s="385"/>
      <c r="E1" s="385"/>
      <c r="F1" s="385"/>
      <c r="G1" s="385"/>
      <c r="H1" s="385"/>
      <c r="I1" s="385"/>
      <c r="J1" s="385"/>
      <c r="K1" s="385"/>
      <c r="L1" s="385"/>
      <c r="M1" s="385"/>
      <c r="N1" s="386"/>
    </row>
    <row r="2" spans="1:14" s="8" customFormat="1" ht="50.1" customHeight="1" x14ac:dyDescent="0.3">
      <c r="A2" s="387" t="s">
        <v>12</v>
      </c>
      <c r="B2" s="388"/>
      <c r="C2" s="388"/>
      <c r="D2" s="388"/>
      <c r="E2" s="388"/>
      <c r="F2" s="388"/>
      <c r="G2" s="389" t="s">
        <v>1602</v>
      </c>
      <c r="H2" s="389"/>
      <c r="I2" s="389"/>
      <c r="J2" s="389"/>
      <c r="K2" s="389"/>
      <c r="L2" s="389"/>
      <c r="M2" s="389"/>
      <c r="N2" s="390"/>
    </row>
    <row r="3" spans="1:14" s="10" customFormat="1" ht="49.8" customHeight="1" x14ac:dyDescent="0.25">
      <c r="A3" s="14" t="s">
        <v>23</v>
      </c>
      <c r="B3" s="14" t="s">
        <v>653</v>
      </c>
      <c r="C3" s="15" t="s">
        <v>224</v>
      </c>
      <c r="D3" s="16" t="s">
        <v>22</v>
      </c>
      <c r="E3" s="14" t="s">
        <v>1579</v>
      </c>
      <c r="F3" s="14" t="s">
        <v>1580</v>
      </c>
      <c r="G3" s="14" t="s">
        <v>19</v>
      </c>
      <c r="H3" s="15" t="s">
        <v>1</v>
      </c>
      <c r="I3" s="15" t="s">
        <v>15</v>
      </c>
      <c r="J3" s="376" t="s">
        <v>1596</v>
      </c>
      <c r="K3" s="15" t="s">
        <v>592</v>
      </c>
      <c r="L3" s="15" t="s">
        <v>591</v>
      </c>
      <c r="M3" s="376" t="s">
        <v>1597</v>
      </c>
      <c r="N3" s="377" t="s">
        <v>804</v>
      </c>
    </row>
    <row r="4" spans="1:14" s="10" customFormat="1" ht="100.05" customHeight="1" x14ac:dyDescent="0.25">
      <c r="A4" s="22">
        <v>1</v>
      </c>
      <c r="B4" s="14"/>
      <c r="C4" s="113" t="s">
        <v>1628</v>
      </c>
      <c r="D4" s="151" t="s">
        <v>1603</v>
      </c>
      <c r="E4" s="150" t="s">
        <v>44</v>
      </c>
      <c r="F4" s="81" t="s">
        <v>1002</v>
      </c>
      <c r="G4" s="81" t="s">
        <v>1604</v>
      </c>
      <c r="H4" s="113" t="s">
        <v>1634</v>
      </c>
      <c r="I4" s="113" t="s">
        <v>1375</v>
      </c>
      <c r="J4" s="80" t="s">
        <v>1637</v>
      </c>
      <c r="K4" s="80" t="s">
        <v>600</v>
      </c>
      <c r="L4" s="39">
        <v>1</v>
      </c>
      <c r="M4" s="375">
        <v>1501</v>
      </c>
      <c r="N4" s="55">
        <f t="shared" ref="N4:N25" si="0">L4*M4</f>
        <v>1501</v>
      </c>
    </row>
    <row r="5" spans="1:14" s="10" customFormat="1" ht="49.95" customHeight="1" x14ac:dyDescent="0.25">
      <c r="A5" s="381">
        <v>2</v>
      </c>
      <c r="B5" s="14"/>
      <c r="C5" s="382" t="s">
        <v>1628</v>
      </c>
      <c r="D5" s="380" t="s">
        <v>1605</v>
      </c>
      <c r="E5" s="379" t="s">
        <v>44</v>
      </c>
      <c r="F5" s="383" t="s">
        <v>1606</v>
      </c>
      <c r="G5" s="383" t="s">
        <v>1607</v>
      </c>
      <c r="H5" s="382" t="s">
        <v>1631</v>
      </c>
      <c r="I5" s="113" t="s">
        <v>1572</v>
      </c>
      <c r="J5" s="80" t="s">
        <v>1638</v>
      </c>
      <c r="K5" s="80" t="s">
        <v>595</v>
      </c>
      <c r="L5" s="39">
        <v>1</v>
      </c>
      <c r="M5" s="375">
        <v>12180</v>
      </c>
      <c r="N5" s="55">
        <f t="shared" si="0"/>
        <v>12180</v>
      </c>
    </row>
    <row r="6" spans="1:14" s="10" customFormat="1" ht="49.95" customHeight="1" x14ac:dyDescent="0.25">
      <c r="A6" s="381"/>
      <c r="B6" s="14"/>
      <c r="C6" s="382"/>
      <c r="D6" s="380"/>
      <c r="E6" s="379"/>
      <c r="F6" s="383"/>
      <c r="G6" s="383"/>
      <c r="H6" s="382"/>
      <c r="I6" s="113" t="s">
        <v>1362</v>
      </c>
      <c r="J6" s="80" t="s">
        <v>1599</v>
      </c>
      <c r="K6" s="80" t="s">
        <v>597</v>
      </c>
      <c r="L6" s="39">
        <v>1</v>
      </c>
      <c r="M6" s="375">
        <v>928</v>
      </c>
      <c r="N6" s="55">
        <f t="shared" si="0"/>
        <v>928</v>
      </c>
    </row>
    <row r="7" spans="1:14" s="10" customFormat="1" ht="100.05" customHeight="1" x14ac:dyDescent="0.25">
      <c r="A7" s="22">
        <v>3</v>
      </c>
      <c r="B7" s="14"/>
      <c r="C7" s="113" t="s">
        <v>1629</v>
      </c>
      <c r="D7" s="151" t="s">
        <v>1608</v>
      </c>
      <c r="E7" s="150" t="s">
        <v>44</v>
      </c>
      <c r="F7" s="81" t="s">
        <v>824</v>
      </c>
      <c r="G7" s="81" t="s">
        <v>1609</v>
      </c>
      <c r="H7" s="113" t="s">
        <v>1634</v>
      </c>
      <c r="I7" s="113" t="s">
        <v>1539</v>
      </c>
      <c r="J7" s="80" t="s">
        <v>1648</v>
      </c>
      <c r="K7" s="80" t="s">
        <v>600</v>
      </c>
      <c r="L7" s="39">
        <v>1</v>
      </c>
      <c r="M7" s="375">
        <v>482</v>
      </c>
      <c r="N7" s="55">
        <f t="shared" si="0"/>
        <v>482</v>
      </c>
    </row>
    <row r="8" spans="1:14" s="10" customFormat="1" ht="49.95" customHeight="1" x14ac:dyDescent="0.25">
      <c r="A8" s="381">
        <v>4</v>
      </c>
      <c r="B8" s="14"/>
      <c r="C8" s="382" t="s">
        <v>1630</v>
      </c>
      <c r="D8" s="380" t="s">
        <v>1610</v>
      </c>
      <c r="E8" s="379" t="s">
        <v>107</v>
      </c>
      <c r="F8" s="379" t="s">
        <v>390</v>
      </c>
      <c r="G8" s="378" t="s">
        <v>1611</v>
      </c>
      <c r="H8" s="379" t="s">
        <v>1646</v>
      </c>
      <c r="I8" s="113" t="s">
        <v>1567</v>
      </c>
      <c r="J8" s="80" t="s">
        <v>1649</v>
      </c>
      <c r="K8" s="80" t="s">
        <v>704</v>
      </c>
      <c r="L8" s="39">
        <v>17</v>
      </c>
      <c r="M8" s="375">
        <v>71</v>
      </c>
      <c r="N8" s="55">
        <f t="shared" si="0"/>
        <v>1207</v>
      </c>
    </row>
    <row r="9" spans="1:14" s="10" customFormat="1" ht="49.95" customHeight="1" x14ac:dyDescent="0.25">
      <c r="A9" s="381"/>
      <c r="B9" s="14"/>
      <c r="C9" s="382"/>
      <c r="D9" s="380"/>
      <c r="E9" s="379"/>
      <c r="F9" s="379"/>
      <c r="G9" s="378"/>
      <c r="H9" s="379"/>
      <c r="I9" s="113" t="s">
        <v>1568</v>
      </c>
      <c r="J9" s="80" t="s">
        <v>1650</v>
      </c>
      <c r="K9" s="80" t="s">
        <v>704</v>
      </c>
      <c r="L9" s="39">
        <v>15</v>
      </c>
      <c r="M9" s="375">
        <v>63</v>
      </c>
      <c r="N9" s="55">
        <f t="shared" si="0"/>
        <v>945</v>
      </c>
    </row>
    <row r="10" spans="1:14" s="10" customFormat="1" ht="49.95" customHeight="1" x14ac:dyDescent="0.25">
      <c r="A10" s="381"/>
      <c r="B10" s="14"/>
      <c r="C10" s="382"/>
      <c r="D10" s="380"/>
      <c r="E10" s="379"/>
      <c r="F10" s="379"/>
      <c r="G10" s="378"/>
      <c r="H10" s="379"/>
      <c r="I10" s="113" t="s">
        <v>1541</v>
      </c>
      <c r="J10" s="80" t="s">
        <v>1651</v>
      </c>
      <c r="K10" s="80" t="s">
        <v>595</v>
      </c>
      <c r="L10" s="39">
        <v>1</v>
      </c>
      <c r="M10" s="375">
        <v>292</v>
      </c>
      <c r="N10" s="55">
        <f t="shared" si="0"/>
        <v>292</v>
      </c>
    </row>
    <row r="11" spans="1:14" s="10" customFormat="1" ht="49.95" customHeight="1" x14ac:dyDescent="0.25">
      <c r="A11" s="381"/>
      <c r="B11" s="14"/>
      <c r="C11" s="382"/>
      <c r="D11" s="380"/>
      <c r="E11" s="379"/>
      <c r="F11" s="379"/>
      <c r="G11" s="378"/>
      <c r="H11" s="379"/>
      <c r="I11" s="113" t="s">
        <v>1639</v>
      </c>
      <c r="J11" s="80" t="s">
        <v>1652</v>
      </c>
      <c r="K11" s="80" t="s">
        <v>1006</v>
      </c>
      <c r="L11" s="39">
        <v>6</v>
      </c>
      <c r="M11" s="375">
        <v>1172</v>
      </c>
      <c r="N11" s="55">
        <f t="shared" si="0"/>
        <v>7032</v>
      </c>
    </row>
    <row r="12" spans="1:14" s="10" customFormat="1" ht="49.95" customHeight="1" x14ac:dyDescent="0.25">
      <c r="A12" s="381"/>
      <c r="B12" s="14"/>
      <c r="C12" s="382"/>
      <c r="D12" s="380"/>
      <c r="E12" s="379"/>
      <c r="F12" s="379"/>
      <c r="G12" s="378"/>
      <c r="H12" s="379"/>
      <c r="I12" s="113" t="s">
        <v>1640</v>
      </c>
      <c r="J12" s="80" t="s">
        <v>1653</v>
      </c>
      <c r="K12" s="80" t="s">
        <v>621</v>
      </c>
      <c r="L12" s="39">
        <v>2</v>
      </c>
      <c r="M12" s="375">
        <v>146</v>
      </c>
      <c r="N12" s="55">
        <f t="shared" si="0"/>
        <v>292</v>
      </c>
    </row>
    <row r="13" spans="1:14" s="10" customFormat="1" ht="49.95" customHeight="1" x14ac:dyDescent="0.25">
      <c r="A13" s="381"/>
      <c r="B13" s="14"/>
      <c r="C13" s="382"/>
      <c r="D13" s="380"/>
      <c r="E13" s="379"/>
      <c r="F13" s="379"/>
      <c r="G13" s="378"/>
      <c r="H13" s="379"/>
      <c r="I13" s="113" t="s">
        <v>1641</v>
      </c>
      <c r="J13" s="80" t="s">
        <v>1654</v>
      </c>
      <c r="K13" s="80" t="s">
        <v>593</v>
      </c>
      <c r="L13" s="39">
        <v>1</v>
      </c>
      <c r="M13" s="375">
        <v>146</v>
      </c>
      <c r="N13" s="55">
        <f t="shared" si="0"/>
        <v>146</v>
      </c>
    </row>
    <row r="14" spans="1:14" s="10" customFormat="1" ht="49.95" customHeight="1" x14ac:dyDescent="0.25">
      <c r="A14" s="381"/>
      <c r="B14" s="14"/>
      <c r="C14" s="382"/>
      <c r="D14" s="380"/>
      <c r="E14" s="379"/>
      <c r="F14" s="379"/>
      <c r="G14" s="378"/>
      <c r="H14" s="379"/>
      <c r="I14" s="113" t="s">
        <v>1642</v>
      </c>
      <c r="J14" s="80" t="s">
        <v>1655</v>
      </c>
      <c r="K14" s="80" t="s">
        <v>600</v>
      </c>
      <c r="L14" s="39">
        <v>9</v>
      </c>
      <c r="M14" s="375">
        <v>1233</v>
      </c>
      <c r="N14" s="55">
        <f t="shared" si="0"/>
        <v>11097</v>
      </c>
    </row>
    <row r="15" spans="1:14" s="10" customFormat="1" ht="49.95" customHeight="1" x14ac:dyDescent="0.25">
      <c r="A15" s="381"/>
      <c r="B15" s="14"/>
      <c r="C15" s="382"/>
      <c r="D15" s="380"/>
      <c r="E15" s="379"/>
      <c r="F15" s="379"/>
      <c r="G15" s="378"/>
      <c r="H15" s="379"/>
      <c r="I15" s="113" t="s">
        <v>1643</v>
      </c>
      <c r="J15" s="80" t="s">
        <v>1656</v>
      </c>
      <c r="K15" s="80" t="s">
        <v>600</v>
      </c>
      <c r="L15" s="39">
        <v>1</v>
      </c>
      <c r="M15" s="375">
        <v>77</v>
      </c>
      <c r="N15" s="55">
        <f t="shared" si="0"/>
        <v>77</v>
      </c>
    </row>
    <row r="16" spans="1:14" s="10" customFormat="1" ht="49.95" customHeight="1" x14ac:dyDescent="0.25">
      <c r="A16" s="381"/>
      <c r="B16" s="14"/>
      <c r="C16" s="382"/>
      <c r="D16" s="380"/>
      <c r="E16" s="379"/>
      <c r="F16" s="379"/>
      <c r="G16" s="378"/>
      <c r="H16" s="379"/>
      <c r="I16" s="113" t="s">
        <v>1644</v>
      </c>
      <c r="J16" s="80" t="s">
        <v>1657</v>
      </c>
      <c r="K16" s="80" t="s">
        <v>1006</v>
      </c>
      <c r="L16" s="39">
        <v>2</v>
      </c>
      <c r="M16" s="375">
        <v>721</v>
      </c>
      <c r="N16" s="55">
        <f t="shared" si="0"/>
        <v>1442</v>
      </c>
    </row>
    <row r="17" spans="1:14" s="10" customFormat="1" ht="49.95" customHeight="1" x14ac:dyDescent="0.25">
      <c r="A17" s="381"/>
      <c r="B17" s="14"/>
      <c r="C17" s="382"/>
      <c r="D17" s="380"/>
      <c r="E17" s="379"/>
      <c r="F17" s="379"/>
      <c r="G17" s="378"/>
      <c r="H17" s="379"/>
      <c r="I17" s="113" t="s">
        <v>1645</v>
      </c>
      <c r="J17" s="80" t="s">
        <v>1658</v>
      </c>
      <c r="K17" s="80" t="s">
        <v>1006</v>
      </c>
      <c r="L17" s="39">
        <v>2</v>
      </c>
      <c r="M17" s="375">
        <v>175</v>
      </c>
      <c r="N17" s="55">
        <f t="shared" si="0"/>
        <v>350</v>
      </c>
    </row>
    <row r="18" spans="1:14" s="10" customFormat="1" ht="49.95" customHeight="1" x14ac:dyDescent="0.25">
      <c r="A18" s="381">
        <v>5</v>
      </c>
      <c r="B18" s="14"/>
      <c r="C18" s="382" t="s">
        <v>1631</v>
      </c>
      <c r="D18" s="380" t="s">
        <v>1612</v>
      </c>
      <c r="E18" s="379" t="s">
        <v>44</v>
      </c>
      <c r="F18" s="379" t="s">
        <v>1513</v>
      </c>
      <c r="G18" s="378" t="s">
        <v>1613</v>
      </c>
      <c r="H18" s="380" t="s">
        <v>1633</v>
      </c>
      <c r="I18" s="113" t="s">
        <v>1567</v>
      </c>
      <c r="J18" s="80" t="s">
        <v>1649</v>
      </c>
      <c r="K18" s="80" t="s">
        <v>704</v>
      </c>
      <c r="L18" s="39">
        <v>10</v>
      </c>
      <c r="M18" s="375">
        <v>71</v>
      </c>
      <c r="N18" s="55">
        <f>L18*M18</f>
        <v>710</v>
      </c>
    </row>
    <row r="19" spans="1:14" s="10" customFormat="1" ht="49.95" customHeight="1" x14ac:dyDescent="0.25">
      <c r="A19" s="381"/>
      <c r="B19" s="14"/>
      <c r="C19" s="382"/>
      <c r="D19" s="380"/>
      <c r="E19" s="379"/>
      <c r="F19" s="379"/>
      <c r="G19" s="378"/>
      <c r="H19" s="380"/>
      <c r="I19" s="113" t="s">
        <v>1568</v>
      </c>
      <c r="J19" s="80" t="s">
        <v>1650</v>
      </c>
      <c r="K19" s="80" t="s">
        <v>704</v>
      </c>
      <c r="L19" s="39">
        <v>8</v>
      </c>
      <c r="M19" s="375">
        <v>63</v>
      </c>
      <c r="N19" s="55">
        <f>L19*M19</f>
        <v>504</v>
      </c>
    </row>
    <row r="20" spans="1:14" s="10" customFormat="1" ht="49.95" customHeight="1" x14ac:dyDescent="0.25">
      <c r="A20" s="381"/>
      <c r="B20" s="14"/>
      <c r="C20" s="382"/>
      <c r="D20" s="380"/>
      <c r="E20" s="379"/>
      <c r="F20" s="379"/>
      <c r="G20" s="378"/>
      <c r="H20" s="380"/>
      <c r="I20" s="113" t="s">
        <v>1540</v>
      </c>
      <c r="J20" s="80" t="s">
        <v>1659</v>
      </c>
      <c r="K20" s="80" t="s">
        <v>621</v>
      </c>
      <c r="L20" s="39">
        <v>1</v>
      </c>
      <c r="M20" s="375">
        <v>697</v>
      </c>
      <c r="N20" s="55">
        <f>L20*M20</f>
        <v>697</v>
      </c>
    </row>
    <row r="21" spans="1:14" s="10" customFormat="1" ht="100.05" customHeight="1" x14ac:dyDescent="0.25">
      <c r="A21" s="22">
        <v>6</v>
      </c>
      <c r="B21" s="14"/>
      <c r="C21" s="113" t="s">
        <v>1631</v>
      </c>
      <c r="D21" s="151" t="s">
        <v>1625</v>
      </c>
      <c r="E21" s="150" t="s">
        <v>44</v>
      </c>
      <c r="F21" s="81" t="s">
        <v>1626</v>
      </c>
      <c r="G21" s="81" t="s">
        <v>1627</v>
      </c>
      <c r="H21" s="113" t="s">
        <v>1636</v>
      </c>
      <c r="I21" s="113" t="s">
        <v>1111</v>
      </c>
      <c r="J21" s="80" t="s">
        <v>1660</v>
      </c>
      <c r="K21" s="80" t="s">
        <v>600</v>
      </c>
      <c r="L21" s="39">
        <v>1</v>
      </c>
      <c r="M21" s="375">
        <v>1319</v>
      </c>
      <c r="N21" s="55">
        <f t="shared" si="0"/>
        <v>1319</v>
      </c>
    </row>
    <row r="22" spans="1:14" s="10" customFormat="1" ht="100.05" customHeight="1" x14ac:dyDescent="0.25">
      <c r="A22" s="22">
        <v>7</v>
      </c>
      <c r="B22" s="14"/>
      <c r="C22" s="113" t="s">
        <v>1632</v>
      </c>
      <c r="D22" s="151" t="s">
        <v>1614</v>
      </c>
      <c r="E22" s="150" t="s">
        <v>1615</v>
      </c>
      <c r="F22" s="81" t="s">
        <v>1616</v>
      </c>
      <c r="G22" s="81" t="s">
        <v>1617</v>
      </c>
      <c r="H22" s="113" t="s">
        <v>1633</v>
      </c>
      <c r="I22" s="113" t="s">
        <v>1642</v>
      </c>
      <c r="J22" s="80" t="s">
        <v>1655</v>
      </c>
      <c r="K22" s="80" t="s">
        <v>600</v>
      </c>
      <c r="L22" s="39">
        <v>1</v>
      </c>
      <c r="M22" s="375">
        <v>1233</v>
      </c>
      <c r="N22" s="55">
        <f t="shared" si="0"/>
        <v>1233</v>
      </c>
    </row>
    <row r="23" spans="1:14" s="10" customFormat="1" ht="100.05" customHeight="1" x14ac:dyDescent="0.25">
      <c r="A23" s="22">
        <v>8</v>
      </c>
      <c r="B23" s="14"/>
      <c r="C23" s="113" t="s">
        <v>1632</v>
      </c>
      <c r="D23" s="151" t="s">
        <v>1618</v>
      </c>
      <c r="E23" s="150" t="s">
        <v>1619</v>
      </c>
      <c r="F23" s="81" t="s">
        <v>1620</v>
      </c>
      <c r="G23" s="81" t="s">
        <v>1617</v>
      </c>
      <c r="H23" s="113" t="s">
        <v>1635</v>
      </c>
      <c r="I23" s="113" t="s">
        <v>1642</v>
      </c>
      <c r="J23" s="80" t="s">
        <v>1655</v>
      </c>
      <c r="K23" s="80" t="s">
        <v>600</v>
      </c>
      <c r="L23" s="39">
        <v>1</v>
      </c>
      <c r="M23" s="375">
        <v>1233</v>
      </c>
      <c r="N23" s="55">
        <f t="shared" si="0"/>
        <v>1233</v>
      </c>
    </row>
    <row r="24" spans="1:14" s="10" customFormat="1" ht="79.95" customHeight="1" x14ac:dyDescent="0.25">
      <c r="A24" s="381">
        <v>9</v>
      </c>
      <c r="B24" s="14"/>
      <c r="C24" s="382" t="s">
        <v>1633</v>
      </c>
      <c r="D24" s="380" t="s">
        <v>1621</v>
      </c>
      <c r="E24" s="379" t="s">
        <v>1622</v>
      </c>
      <c r="F24" s="383" t="s">
        <v>1623</v>
      </c>
      <c r="G24" s="383" t="s">
        <v>1624</v>
      </c>
      <c r="H24" s="382" t="s">
        <v>1635</v>
      </c>
      <c r="I24" s="113" t="s">
        <v>1642</v>
      </c>
      <c r="J24" s="80" t="s">
        <v>1655</v>
      </c>
      <c r="K24" s="80" t="s">
        <v>600</v>
      </c>
      <c r="L24" s="39">
        <v>14</v>
      </c>
      <c r="M24" s="375">
        <v>1233</v>
      </c>
      <c r="N24" s="55">
        <f t="shared" si="0"/>
        <v>17262</v>
      </c>
    </row>
    <row r="25" spans="1:14" s="10" customFormat="1" ht="79.95" customHeight="1" x14ac:dyDescent="0.25">
      <c r="A25" s="381"/>
      <c r="B25" s="14"/>
      <c r="C25" s="382"/>
      <c r="D25" s="380"/>
      <c r="E25" s="379"/>
      <c r="F25" s="383"/>
      <c r="G25" s="383"/>
      <c r="H25" s="382"/>
      <c r="I25" s="113" t="s">
        <v>1647</v>
      </c>
      <c r="J25" s="80" t="s">
        <v>1661</v>
      </c>
      <c r="K25" s="80" t="s">
        <v>1662</v>
      </c>
      <c r="L25" s="39">
        <v>2</v>
      </c>
      <c r="M25" s="375">
        <v>160</v>
      </c>
      <c r="N25" s="55">
        <f t="shared" si="0"/>
        <v>320</v>
      </c>
    </row>
    <row r="26" spans="1:14" s="10" customFormat="1" ht="64.95" customHeight="1" thickBot="1" x14ac:dyDescent="0.3">
      <c r="A26" s="341"/>
      <c r="B26" s="335"/>
      <c r="C26" s="335"/>
      <c r="D26" s="335"/>
      <c r="E26" s="335"/>
      <c r="F26" s="335"/>
      <c r="G26" s="335"/>
      <c r="H26" s="336"/>
      <c r="I26" s="391" t="s">
        <v>805</v>
      </c>
      <c r="J26" s="391"/>
      <c r="K26" s="391"/>
      <c r="L26" s="391"/>
      <c r="M26" s="373"/>
      <c r="N26" s="374">
        <f>SUM(N4:N25)</f>
        <v>61249</v>
      </c>
    </row>
    <row r="27" spans="1:14" ht="26.4" customHeight="1" x14ac:dyDescent="0.25"/>
    <row r="32" spans="1:14" ht="15.75" customHeight="1" x14ac:dyDescent="0.25">
      <c r="F32" s="366" t="s">
        <v>172</v>
      </c>
      <c r="G32" s="358" t="s">
        <v>172</v>
      </c>
    </row>
    <row r="36" spans="7:7" ht="15.75" customHeight="1" x14ac:dyDescent="0.25">
      <c r="G36" s="358" t="s">
        <v>172</v>
      </c>
    </row>
  </sheetData>
  <autoFilter ref="A3:N26" xr:uid="{00000000-0009-0000-0000-000000000000}"/>
  <mergeCells count="32">
    <mergeCell ref="A1:N1"/>
    <mergeCell ref="A2:F2"/>
    <mergeCell ref="G2:N2"/>
    <mergeCell ref="I26:L26"/>
    <mergeCell ref="A5:A6"/>
    <mergeCell ref="C5:C6"/>
    <mergeCell ref="D5:D6"/>
    <mergeCell ref="E5:E6"/>
    <mergeCell ref="F5:F6"/>
    <mergeCell ref="G5:G6"/>
    <mergeCell ref="H5:H6"/>
    <mergeCell ref="C8:C17"/>
    <mergeCell ref="A8:A17"/>
    <mergeCell ref="D8:D17"/>
    <mergeCell ref="E8:E17"/>
    <mergeCell ref="F8:F17"/>
    <mergeCell ref="G8:G17"/>
    <mergeCell ref="H8:H17"/>
    <mergeCell ref="H18:H20"/>
    <mergeCell ref="A24:A25"/>
    <mergeCell ref="C24:C25"/>
    <mergeCell ref="D24:D25"/>
    <mergeCell ref="E24:E25"/>
    <mergeCell ref="F24:F25"/>
    <mergeCell ref="G24:G25"/>
    <mergeCell ref="H24:H25"/>
    <mergeCell ref="A18:A20"/>
    <mergeCell ref="C18:C20"/>
    <mergeCell ref="D18:D20"/>
    <mergeCell ref="E18:E20"/>
    <mergeCell ref="F18:F20"/>
    <mergeCell ref="G18:G20"/>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AC80-1220-407C-9CE3-0B63304E72EC}">
  <sheetPr>
    <outlinePr summaryBelow="0" summaryRight="0"/>
    <pageSetUpPr fitToPage="1"/>
  </sheetPr>
  <dimension ref="A1:N20"/>
  <sheetViews>
    <sheetView view="pageBreakPreview" zoomScale="40" zoomScaleNormal="40" zoomScaleSheetLayoutView="40" workbookViewId="0">
      <pane ySplit="1" topLeftCell="A2" activePane="bottomLeft" state="frozen"/>
      <selection pane="bottomLeft" activeCell="A5" sqref="A5:H6"/>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27.109375" style="1" customWidth="1"/>
    <col min="5" max="5" width="25.6640625" customWidth="1"/>
    <col min="6" max="6" width="30.33203125" customWidth="1"/>
    <col min="7" max="7" width="80.6640625" style="53" customWidth="1"/>
    <col min="8" max="8" width="25.6640625" customWidth="1"/>
    <col min="9" max="9" width="24.5546875" style="53" customWidth="1"/>
    <col min="10" max="10" width="24.5546875" style="53" hidden="1" customWidth="1"/>
    <col min="11" max="11" width="10.77734375" style="1" customWidth="1"/>
    <col min="12" max="12" width="14.109375" style="1" customWidth="1"/>
    <col min="13" max="13" width="17.6640625" style="1" hidden="1" customWidth="1"/>
    <col min="14" max="14" width="30.6640625" style="12" customWidth="1"/>
    <col min="17" max="17" width="18.77734375" bestFit="1" customWidth="1"/>
  </cols>
  <sheetData>
    <row r="1" spans="1:14" ht="50.1" customHeight="1" thickBot="1" x14ac:dyDescent="0.3">
      <c r="A1" s="384" t="s">
        <v>1197</v>
      </c>
      <c r="B1" s="385"/>
      <c r="C1" s="385"/>
      <c r="D1" s="385"/>
      <c r="E1" s="385"/>
      <c r="F1" s="385"/>
      <c r="G1" s="385"/>
      <c r="H1" s="385"/>
      <c r="I1" s="385"/>
      <c r="J1" s="385"/>
      <c r="K1" s="385"/>
      <c r="L1" s="385"/>
      <c r="M1" s="385"/>
      <c r="N1" s="386"/>
    </row>
    <row r="2" spans="1:14" s="8" customFormat="1" ht="50.1" customHeight="1" x14ac:dyDescent="0.3">
      <c r="A2" s="387" t="s">
        <v>12</v>
      </c>
      <c r="B2" s="388"/>
      <c r="C2" s="388"/>
      <c r="D2" s="388"/>
      <c r="E2" s="388"/>
      <c r="F2" s="388"/>
      <c r="G2" s="389" t="s">
        <v>1574</v>
      </c>
      <c r="H2" s="389"/>
      <c r="I2" s="389"/>
      <c r="J2" s="389"/>
      <c r="K2" s="389"/>
      <c r="L2" s="389"/>
      <c r="M2" s="389"/>
      <c r="N2" s="390"/>
    </row>
    <row r="3" spans="1:14" s="10" customFormat="1" ht="49.8" customHeight="1" x14ac:dyDescent="0.25">
      <c r="A3" s="17" t="s">
        <v>23</v>
      </c>
      <c r="B3" s="14" t="s">
        <v>653</v>
      </c>
      <c r="C3" s="15" t="s">
        <v>224</v>
      </c>
      <c r="D3" s="16" t="s">
        <v>22</v>
      </c>
      <c r="E3" s="14" t="s">
        <v>1579</v>
      </c>
      <c r="F3" s="14" t="s">
        <v>1580</v>
      </c>
      <c r="G3" s="14" t="s">
        <v>19</v>
      </c>
      <c r="H3" s="15" t="s">
        <v>1</v>
      </c>
      <c r="I3" s="15" t="s">
        <v>15</v>
      </c>
      <c r="J3" s="376" t="s">
        <v>1596</v>
      </c>
      <c r="K3" s="15" t="s">
        <v>592</v>
      </c>
      <c r="L3" s="15" t="s">
        <v>591</v>
      </c>
      <c r="M3" s="376" t="s">
        <v>1597</v>
      </c>
      <c r="N3" s="18" t="s">
        <v>804</v>
      </c>
    </row>
    <row r="4" spans="1:14" s="10" customFormat="1" ht="100.05" customHeight="1" x14ac:dyDescent="0.25">
      <c r="A4" s="19">
        <v>1</v>
      </c>
      <c r="B4" s="14"/>
      <c r="C4" s="113" t="s">
        <v>1591</v>
      </c>
      <c r="D4" s="151" t="s">
        <v>1578</v>
      </c>
      <c r="E4" s="150" t="s">
        <v>44</v>
      </c>
      <c r="F4" s="81" t="s">
        <v>1559</v>
      </c>
      <c r="G4" s="81" t="s">
        <v>1601</v>
      </c>
      <c r="H4" s="113" t="s">
        <v>1587</v>
      </c>
      <c r="I4" s="113" t="s">
        <v>1595</v>
      </c>
      <c r="J4" s="80" t="s">
        <v>1600</v>
      </c>
      <c r="K4" s="80" t="s">
        <v>600</v>
      </c>
      <c r="L4" s="39">
        <v>1</v>
      </c>
      <c r="M4" s="375">
        <v>5826</v>
      </c>
      <c r="N4" s="41">
        <f t="shared" ref="N4:N9" si="0">L4*M4</f>
        <v>5826</v>
      </c>
    </row>
    <row r="5" spans="1:14" s="10" customFormat="1" ht="49.95" customHeight="1" x14ac:dyDescent="0.25">
      <c r="A5" s="392">
        <v>2</v>
      </c>
      <c r="B5" s="14"/>
      <c r="C5" s="382" t="s">
        <v>1592</v>
      </c>
      <c r="D5" s="380" t="s">
        <v>1577</v>
      </c>
      <c r="E5" s="379" t="s">
        <v>44</v>
      </c>
      <c r="F5" s="383" t="s">
        <v>1583</v>
      </c>
      <c r="G5" s="383" t="s">
        <v>1584</v>
      </c>
      <c r="H5" s="382" t="s">
        <v>1588</v>
      </c>
      <c r="I5" s="113" t="s">
        <v>1572</v>
      </c>
      <c r="J5" s="80" t="s">
        <v>1598</v>
      </c>
      <c r="K5" s="80" t="s">
        <v>595</v>
      </c>
      <c r="L5" s="39">
        <v>1</v>
      </c>
      <c r="M5" s="375">
        <v>12037</v>
      </c>
      <c r="N5" s="41">
        <f t="shared" si="0"/>
        <v>12037</v>
      </c>
    </row>
    <row r="6" spans="1:14" s="10" customFormat="1" ht="49.95" customHeight="1" x14ac:dyDescent="0.25">
      <c r="A6" s="392"/>
      <c r="B6" s="14"/>
      <c r="C6" s="382"/>
      <c r="D6" s="380"/>
      <c r="E6" s="379"/>
      <c r="F6" s="383"/>
      <c r="G6" s="383"/>
      <c r="H6" s="382"/>
      <c r="I6" s="113" t="s">
        <v>1362</v>
      </c>
      <c r="J6" s="80" t="s">
        <v>1599</v>
      </c>
      <c r="K6" s="80" t="s">
        <v>597</v>
      </c>
      <c r="L6" s="39">
        <v>1</v>
      </c>
      <c r="M6" s="375">
        <v>917</v>
      </c>
      <c r="N6" s="41">
        <f t="shared" si="0"/>
        <v>917</v>
      </c>
    </row>
    <row r="7" spans="1:14" s="10" customFormat="1" ht="49.95" customHeight="1" x14ac:dyDescent="0.25">
      <c r="A7" s="392">
        <v>3</v>
      </c>
      <c r="B7" s="14"/>
      <c r="C7" s="382" t="s">
        <v>1593</v>
      </c>
      <c r="D7" s="380" t="s">
        <v>1576</v>
      </c>
      <c r="E7" s="379" t="s">
        <v>44</v>
      </c>
      <c r="F7" s="383" t="s">
        <v>1581</v>
      </c>
      <c r="G7" s="383" t="s">
        <v>1582</v>
      </c>
      <c r="H7" s="382" t="s">
        <v>1589</v>
      </c>
      <c r="I7" s="113" t="s">
        <v>1572</v>
      </c>
      <c r="J7" s="80" t="s">
        <v>1598</v>
      </c>
      <c r="K7" s="80" t="s">
        <v>595</v>
      </c>
      <c r="L7" s="39">
        <v>1</v>
      </c>
      <c r="M7" s="375">
        <v>12037</v>
      </c>
      <c r="N7" s="41">
        <f t="shared" si="0"/>
        <v>12037</v>
      </c>
    </row>
    <row r="8" spans="1:14" s="10" customFormat="1" ht="49.95" customHeight="1" x14ac:dyDescent="0.25">
      <c r="A8" s="392"/>
      <c r="B8" s="14"/>
      <c r="C8" s="382"/>
      <c r="D8" s="380"/>
      <c r="E8" s="379"/>
      <c r="F8" s="383"/>
      <c r="G8" s="383"/>
      <c r="H8" s="382"/>
      <c r="I8" s="113" t="s">
        <v>1362</v>
      </c>
      <c r="J8" s="80" t="s">
        <v>1599</v>
      </c>
      <c r="K8" s="80" t="s">
        <v>597</v>
      </c>
      <c r="L8" s="39">
        <v>1</v>
      </c>
      <c r="M8" s="375">
        <v>917</v>
      </c>
      <c r="N8" s="41">
        <f t="shared" si="0"/>
        <v>917</v>
      </c>
    </row>
    <row r="9" spans="1:14" s="10" customFormat="1" ht="100.05" customHeight="1" x14ac:dyDescent="0.25">
      <c r="A9" s="19">
        <v>4</v>
      </c>
      <c r="B9" s="14"/>
      <c r="C9" s="113" t="s">
        <v>1594</v>
      </c>
      <c r="D9" s="151" t="s">
        <v>1575</v>
      </c>
      <c r="E9" s="150" t="s">
        <v>44</v>
      </c>
      <c r="F9" s="81" t="s">
        <v>1585</v>
      </c>
      <c r="G9" s="81" t="s">
        <v>1586</v>
      </c>
      <c r="H9" s="113" t="s">
        <v>1590</v>
      </c>
      <c r="I9" s="113" t="s">
        <v>1595</v>
      </c>
      <c r="J9" s="80" t="s">
        <v>1600</v>
      </c>
      <c r="K9" s="80" t="s">
        <v>600</v>
      </c>
      <c r="L9" s="39">
        <v>1</v>
      </c>
      <c r="M9" s="375">
        <v>5826</v>
      </c>
      <c r="N9" s="41">
        <f t="shared" si="0"/>
        <v>5826</v>
      </c>
    </row>
    <row r="10" spans="1:14" s="10" customFormat="1" ht="64.95" customHeight="1" thickBot="1" x14ac:dyDescent="0.3">
      <c r="A10" s="341"/>
      <c r="B10" s="335"/>
      <c r="C10" s="335"/>
      <c r="D10" s="335"/>
      <c r="E10" s="335"/>
      <c r="F10" s="335"/>
      <c r="G10" s="335"/>
      <c r="H10" s="336"/>
      <c r="I10" s="391" t="s">
        <v>805</v>
      </c>
      <c r="J10" s="391"/>
      <c r="K10" s="391"/>
      <c r="L10" s="391"/>
      <c r="M10" s="373"/>
      <c r="N10" s="374">
        <f>SUM(N4:N9)</f>
        <v>37560</v>
      </c>
    </row>
    <row r="11" spans="1:14" ht="26.4" customHeight="1" x14ac:dyDescent="0.25"/>
    <row r="16" spans="1:14" ht="15.75" customHeight="1" x14ac:dyDescent="0.25">
      <c r="F16" s="366" t="s">
        <v>172</v>
      </c>
      <c r="G16" s="358" t="s">
        <v>172</v>
      </c>
    </row>
    <row r="20" spans="7:7" ht="15.75" customHeight="1" x14ac:dyDescent="0.25">
      <c r="G20" s="358" t="s">
        <v>172</v>
      </c>
    </row>
  </sheetData>
  <autoFilter ref="A3:N10" xr:uid="{00000000-0009-0000-0000-000000000000}"/>
  <mergeCells count="18">
    <mergeCell ref="A1:N1"/>
    <mergeCell ref="A2:F2"/>
    <mergeCell ref="G2:N2"/>
    <mergeCell ref="G5:G6"/>
    <mergeCell ref="A5:A6"/>
    <mergeCell ref="H5:H6"/>
    <mergeCell ref="I10:L10"/>
    <mergeCell ref="C7:C8"/>
    <mergeCell ref="D7:D8"/>
    <mergeCell ref="E7:E8"/>
    <mergeCell ref="F7:F8"/>
    <mergeCell ref="G7:G8"/>
    <mergeCell ref="H7:H8"/>
    <mergeCell ref="A7:A8"/>
    <mergeCell ref="C5:C6"/>
    <mergeCell ref="D5:D6"/>
    <mergeCell ref="E5:E6"/>
    <mergeCell ref="F5:F6"/>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1C01-6298-40AA-938A-D80981CFB552}">
  <sheetPr>
    <outlinePr summaryBelow="0" summaryRight="0"/>
    <pageSetUpPr fitToPage="1"/>
  </sheetPr>
  <dimension ref="A1:M51"/>
  <sheetViews>
    <sheetView view="pageBreakPreview" topLeftCell="D1" zoomScale="55" zoomScaleNormal="40" zoomScaleSheetLayoutView="55" workbookViewId="0">
      <pane ySplit="1" topLeftCell="A2" activePane="bottomLeft" state="frozen"/>
      <selection pane="bottomLeft" activeCell="H11" sqref="H11:H12"/>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27.1093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x14ac:dyDescent="0.25">
      <c r="A1" s="384" t="s">
        <v>1197</v>
      </c>
      <c r="B1" s="385"/>
      <c r="C1" s="385"/>
      <c r="D1" s="385"/>
      <c r="E1" s="385"/>
      <c r="F1" s="385"/>
      <c r="G1" s="385"/>
      <c r="H1" s="385"/>
      <c r="I1" s="385"/>
      <c r="J1" s="385"/>
      <c r="K1" s="385"/>
      <c r="L1" s="385"/>
      <c r="M1" s="386"/>
    </row>
    <row r="2" spans="1:13" s="8" customFormat="1" ht="50.1" customHeight="1" x14ac:dyDescent="0.3">
      <c r="A2" s="393" t="s">
        <v>12</v>
      </c>
      <c r="B2" s="394"/>
      <c r="C2" s="394"/>
      <c r="D2" s="394"/>
      <c r="E2" s="394"/>
      <c r="F2" s="394"/>
      <c r="G2" s="395" t="s">
        <v>1542</v>
      </c>
      <c r="H2" s="395"/>
      <c r="I2" s="395"/>
      <c r="J2" s="395"/>
      <c r="K2" s="395"/>
      <c r="L2" s="395"/>
      <c r="M2" s="396"/>
    </row>
    <row r="3" spans="1:13" s="10" customFormat="1" ht="49.8"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100.05" customHeight="1" x14ac:dyDescent="0.25">
      <c r="A4" s="19">
        <v>1</v>
      </c>
      <c r="B4" s="14"/>
      <c r="C4" s="113">
        <v>45992</v>
      </c>
      <c r="D4" s="151">
        <v>2025120100003</v>
      </c>
      <c r="E4" s="150" t="s">
        <v>44</v>
      </c>
      <c r="F4" s="81" t="s">
        <v>1543</v>
      </c>
      <c r="G4" s="81" t="s">
        <v>1544</v>
      </c>
      <c r="H4" s="113">
        <v>45993</v>
      </c>
      <c r="I4" s="113" t="s">
        <v>1375</v>
      </c>
      <c r="J4" s="80" t="s">
        <v>600</v>
      </c>
      <c r="K4" s="39">
        <v>1</v>
      </c>
      <c r="L4" s="368">
        <v>1483</v>
      </c>
      <c r="M4" s="41">
        <f t="shared" ref="M4:M36" si="0">K4*L4</f>
        <v>1483</v>
      </c>
    </row>
    <row r="5" spans="1:13" s="10" customFormat="1" ht="49.95" customHeight="1" x14ac:dyDescent="0.25">
      <c r="A5" s="392">
        <v>2</v>
      </c>
      <c r="B5" s="14"/>
      <c r="C5" s="382">
        <v>45992</v>
      </c>
      <c r="D5" s="380">
        <v>2025120100005</v>
      </c>
      <c r="E5" s="379" t="s">
        <v>44</v>
      </c>
      <c r="F5" s="383" t="s">
        <v>876</v>
      </c>
      <c r="G5" s="383" t="s">
        <v>1545</v>
      </c>
      <c r="H5" s="382">
        <v>45993</v>
      </c>
      <c r="I5" s="113" t="s">
        <v>1567</v>
      </c>
      <c r="J5" s="80" t="s">
        <v>704</v>
      </c>
      <c r="K5" s="39">
        <v>5</v>
      </c>
      <c r="L5" s="368">
        <v>70</v>
      </c>
      <c r="M5" s="41">
        <f t="shared" si="0"/>
        <v>350</v>
      </c>
    </row>
    <row r="6" spans="1:13" s="10" customFormat="1" ht="49.95" customHeight="1" x14ac:dyDescent="0.25">
      <c r="A6" s="392"/>
      <c r="B6" s="14"/>
      <c r="C6" s="382"/>
      <c r="D6" s="380"/>
      <c r="E6" s="379"/>
      <c r="F6" s="383"/>
      <c r="G6" s="383"/>
      <c r="H6" s="382"/>
      <c r="I6" s="113" t="s">
        <v>1568</v>
      </c>
      <c r="J6" s="80" t="s">
        <v>704</v>
      </c>
      <c r="K6" s="39">
        <v>2</v>
      </c>
      <c r="L6" s="368">
        <v>63</v>
      </c>
      <c r="M6" s="41">
        <f t="shared" si="0"/>
        <v>126</v>
      </c>
    </row>
    <row r="7" spans="1:13" s="10" customFormat="1" ht="49.95" customHeight="1" x14ac:dyDescent="0.25">
      <c r="A7" s="392"/>
      <c r="B7" s="14"/>
      <c r="C7" s="382"/>
      <c r="D7" s="380"/>
      <c r="E7" s="379"/>
      <c r="F7" s="383"/>
      <c r="G7" s="383"/>
      <c r="H7" s="382"/>
      <c r="I7" s="113" t="s">
        <v>1569</v>
      </c>
      <c r="J7" s="80" t="s">
        <v>704</v>
      </c>
      <c r="K7" s="39">
        <v>5</v>
      </c>
      <c r="L7" s="368">
        <v>602</v>
      </c>
      <c r="M7" s="41">
        <f t="shared" si="0"/>
        <v>3010</v>
      </c>
    </row>
    <row r="8" spans="1:13" s="10" customFormat="1" ht="49.95" customHeight="1" x14ac:dyDescent="0.25">
      <c r="A8" s="392">
        <v>3</v>
      </c>
      <c r="B8" s="14"/>
      <c r="C8" s="382">
        <v>45992</v>
      </c>
      <c r="D8" s="380">
        <v>2025120100006</v>
      </c>
      <c r="E8" s="379" t="s">
        <v>44</v>
      </c>
      <c r="F8" s="383" t="s">
        <v>1100</v>
      </c>
      <c r="G8" s="383" t="s">
        <v>1546</v>
      </c>
      <c r="H8" s="382">
        <v>45993</v>
      </c>
      <c r="I8" s="113" t="s">
        <v>1567</v>
      </c>
      <c r="J8" s="80" t="s">
        <v>704</v>
      </c>
      <c r="K8" s="39">
        <v>25</v>
      </c>
      <c r="L8" s="368">
        <v>70</v>
      </c>
      <c r="M8" s="41">
        <f t="shared" si="0"/>
        <v>1750</v>
      </c>
    </row>
    <row r="9" spans="1:13" s="10" customFormat="1" ht="49.95" customHeight="1" x14ac:dyDescent="0.25">
      <c r="A9" s="392"/>
      <c r="B9" s="14"/>
      <c r="C9" s="382"/>
      <c r="D9" s="380"/>
      <c r="E9" s="379"/>
      <c r="F9" s="383"/>
      <c r="G9" s="383"/>
      <c r="H9" s="382"/>
      <c r="I9" s="113" t="s">
        <v>1568</v>
      </c>
      <c r="J9" s="80" t="s">
        <v>704</v>
      </c>
      <c r="K9" s="39">
        <v>3</v>
      </c>
      <c r="L9" s="368">
        <v>63</v>
      </c>
      <c r="M9" s="41">
        <f t="shared" si="0"/>
        <v>189</v>
      </c>
    </row>
    <row r="10" spans="1:13" s="10" customFormat="1" ht="49.95" customHeight="1" x14ac:dyDescent="0.25">
      <c r="A10" s="392"/>
      <c r="B10" s="14"/>
      <c r="C10" s="382"/>
      <c r="D10" s="380"/>
      <c r="E10" s="379"/>
      <c r="F10" s="383"/>
      <c r="G10" s="383"/>
      <c r="H10" s="382"/>
      <c r="I10" s="113" t="s">
        <v>1570</v>
      </c>
      <c r="J10" s="80" t="s">
        <v>1006</v>
      </c>
      <c r="K10" s="39">
        <v>7</v>
      </c>
      <c r="L10" s="368">
        <v>530</v>
      </c>
      <c r="M10" s="41">
        <f t="shared" si="0"/>
        <v>3710</v>
      </c>
    </row>
    <row r="11" spans="1:13" s="10" customFormat="1" ht="49.95" customHeight="1" x14ac:dyDescent="0.25">
      <c r="A11" s="392">
        <v>4</v>
      </c>
      <c r="B11" s="14"/>
      <c r="C11" s="382">
        <v>45992</v>
      </c>
      <c r="D11" s="380">
        <v>2025120300003</v>
      </c>
      <c r="E11" s="379" t="s">
        <v>44</v>
      </c>
      <c r="F11" s="383" t="s">
        <v>1547</v>
      </c>
      <c r="G11" s="383" t="s">
        <v>1548</v>
      </c>
      <c r="H11" s="382">
        <v>45994</v>
      </c>
      <c r="I11" s="113" t="s">
        <v>1540</v>
      </c>
      <c r="J11" s="80" t="s">
        <v>621</v>
      </c>
      <c r="K11" s="39">
        <v>1</v>
      </c>
      <c r="L11" s="368">
        <v>689</v>
      </c>
      <c r="M11" s="41">
        <f t="shared" si="0"/>
        <v>689</v>
      </c>
    </row>
    <row r="12" spans="1:13" s="10" customFormat="1" ht="49.95" customHeight="1" x14ac:dyDescent="0.25">
      <c r="A12" s="392"/>
      <c r="B12" s="14"/>
      <c r="C12" s="382"/>
      <c r="D12" s="380"/>
      <c r="E12" s="379"/>
      <c r="F12" s="383"/>
      <c r="G12" s="383"/>
      <c r="H12" s="382"/>
      <c r="I12" s="113" t="s">
        <v>1571</v>
      </c>
      <c r="J12" s="80" t="s">
        <v>604</v>
      </c>
      <c r="K12" s="39">
        <v>1</v>
      </c>
      <c r="L12" s="368">
        <v>366</v>
      </c>
      <c r="M12" s="41">
        <f t="shared" si="0"/>
        <v>366</v>
      </c>
    </row>
    <row r="13" spans="1:13" s="10" customFormat="1" ht="49.95" customHeight="1" x14ac:dyDescent="0.25">
      <c r="A13" s="392">
        <v>5</v>
      </c>
      <c r="B13" s="14"/>
      <c r="C13" s="382">
        <v>45992</v>
      </c>
      <c r="D13" s="380">
        <v>2025120300004</v>
      </c>
      <c r="E13" s="379" t="s">
        <v>44</v>
      </c>
      <c r="F13" s="383" t="s">
        <v>1549</v>
      </c>
      <c r="G13" s="383" t="s">
        <v>1550</v>
      </c>
      <c r="H13" s="382">
        <v>45994</v>
      </c>
      <c r="I13" s="113" t="s">
        <v>1567</v>
      </c>
      <c r="J13" s="80" t="s">
        <v>704</v>
      </c>
      <c r="K13" s="39">
        <v>6</v>
      </c>
      <c r="L13" s="368">
        <v>70</v>
      </c>
      <c r="M13" s="41">
        <f t="shared" si="0"/>
        <v>420</v>
      </c>
    </row>
    <row r="14" spans="1:13" s="10" customFormat="1" ht="49.95" customHeight="1" x14ac:dyDescent="0.25">
      <c r="A14" s="392"/>
      <c r="B14" s="14"/>
      <c r="C14" s="382"/>
      <c r="D14" s="380"/>
      <c r="E14" s="379"/>
      <c r="F14" s="383"/>
      <c r="G14" s="383"/>
      <c r="H14" s="382"/>
      <c r="I14" s="113" t="s">
        <v>1568</v>
      </c>
      <c r="J14" s="80" t="s">
        <v>704</v>
      </c>
      <c r="K14" s="39">
        <v>3</v>
      </c>
      <c r="L14" s="368">
        <v>63</v>
      </c>
      <c r="M14" s="41">
        <f t="shared" si="0"/>
        <v>189</v>
      </c>
    </row>
    <row r="15" spans="1:13" s="10" customFormat="1" ht="49.95" customHeight="1" x14ac:dyDescent="0.25">
      <c r="A15" s="392"/>
      <c r="B15" s="14"/>
      <c r="C15" s="382"/>
      <c r="D15" s="380"/>
      <c r="E15" s="379"/>
      <c r="F15" s="383"/>
      <c r="G15" s="383"/>
      <c r="H15" s="382"/>
      <c r="I15" s="113" t="s">
        <v>1569</v>
      </c>
      <c r="J15" s="80" t="s">
        <v>704</v>
      </c>
      <c r="K15" s="39">
        <v>6</v>
      </c>
      <c r="L15" s="368">
        <v>602</v>
      </c>
      <c r="M15" s="41">
        <f t="shared" si="0"/>
        <v>3612</v>
      </c>
    </row>
    <row r="16" spans="1:13" s="10" customFormat="1" ht="49.95" customHeight="1" x14ac:dyDescent="0.25">
      <c r="A16" s="392">
        <v>6</v>
      </c>
      <c r="B16" s="14"/>
      <c r="C16" s="382">
        <v>45992</v>
      </c>
      <c r="D16" s="380">
        <v>2025121100004</v>
      </c>
      <c r="E16" s="379" t="s">
        <v>44</v>
      </c>
      <c r="F16" s="383" t="s">
        <v>1551</v>
      </c>
      <c r="G16" s="383" t="s">
        <v>1552</v>
      </c>
      <c r="H16" s="382">
        <v>45993</v>
      </c>
      <c r="I16" s="113" t="s">
        <v>1572</v>
      </c>
      <c r="J16" s="80" t="s">
        <v>595</v>
      </c>
      <c r="K16" s="39">
        <v>1</v>
      </c>
      <c r="L16" s="375">
        <v>12037</v>
      </c>
      <c r="M16" s="41">
        <f t="shared" si="0"/>
        <v>12037</v>
      </c>
    </row>
    <row r="17" spans="1:13" s="10" customFormat="1" ht="49.95" customHeight="1" x14ac:dyDescent="0.25">
      <c r="A17" s="392"/>
      <c r="B17" s="14"/>
      <c r="C17" s="382"/>
      <c r="D17" s="380"/>
      <c r="E17" s="379"/>
      <c r="F17" s="383"/>
      <c r="G17" s="383"/>
      <c r="H17" s="382"/>
      <c r="I17" s="113" t="s">
        <v>1362</v>
      </c>
      <c r="J17" s="80" t="s">
        <v>597</v>
      </c>
      <c r="K17" s="39">
        <v>1</v>
      </c>
      <c r="L17" s="375">
        <v>917</v>
      </c>
      <c r="M17" s="41">
        <f t="shared" si="0"/>
        <v>917</v>
      </c>
    </row>
    <row r="18" spans="1:13" s="10" customFormat="1" ht="49.95" customHeight="1" x14ac:dyDescent="0.25">
      <c r="A18" s="392">
        <v>7</v>
      </c>
      <c r="B18" s="14"/>
      <c r="C18" s="382">
        <v>45992</v>
      </c>
      <c r="D18" s="380">
        <v>2025121200009</v>
      </c>
      <c r="E18" s="379" t="s">
        <v>44</v>
      </c>
      <c r="F18" s="383" t="s">
        <v>1553</v>
      </c>
      <c r="G18" s="383" t="s">
        <v>1554</v>
      </c>
      <c r="H18" s="382">
        <v>45994</v>
      </c>
      <c r="I18" s="113" t="s">
        <v>1572</v>
      </c>
      <c r="J18" s="80" t="s">
        <v>595</v>
      </c>
      <c r="K18" s="39">
        <v>1</v>
      </c>
      <c r="L18" s="375">
        <v>12037</v>
      </c>
      <c r="M18" s="41">
        <f t="shared" ref="M18:M19" si="1">K18*L18</f>
        <v>12037</v>
      </c>
    </row>
    <row r="19" spans="1:13" s="10" customFormat="1" ht="49.95" customHeight="1" x14ac:dyDescent="0.25">
      <c r="A19" s="392"/>
      <c r="B19" s="14"/>
      <c r="C19" s="382"/>
      <c r="D19" s="380"/>
      <c r="E19" s="379"/>
      <c r="F19" s="383"/>
      <c r="G19" s="383"/>
      <c r="H19" s="382"/>
      <c r="I19" s="113" t="s">
        <v>1362</v>
      </c>
      <c r="J19" s="80" t="s">
        <v>597</v>
      </c>
      <c r="K19" s="39">
        <v>1</v>
      </c>
      <c r="L19" s="375">
        <v>917</v>
      </c>
      <c r="M19" s="41">
        <f t="shared" si="1"/>
        <v>917</v>
      </c>
    </row>
    <row r="20" spans="1:13" s="10" customFormat="1" ht="55.05" customHeight="1" x14ac:dyDescent="0.25">
      <c r="A20" s="392">
        <v>8</v>
      </c>
      <c r="B20" s="14"/>
      <c r="C20" s="382">
        <v>45994</v>
      </c>
      <c r="D20" s="380">
        <v>2025120300002</v>
      </c>
      <c r="E20" s="379" t="s">
        <v>553</v>
      </c>
      <c r="F20" s="383" t="s">
        <v>1555</v>
      </c>
      <c r="G20" s="383" t="s">
        <v>1556</v>
      </c>
      <c r="H20" s="382">
        <v>45996</v>
      </c>
      <c r="I20" s="113" t="s">
        <v>1567</v>
      </c>
      <c r="J20" s="80" t="s">
        <v>704</v>
      </c>
      <c r="K20" s="39">
        <v>18</v>
      </c>
      <c r="L20" s="375">
        <v>70</v>
      </c>
      <c r="M20" s="41">
        <f t="shared" si="0"/>
        <v>1260</v>
      </c>
    </row>
    <row r="21" spans="1:13" s="10" customFormat="1" ht="55.05" customHeight="1" x14ac:dyDescent="0.25">
      <c r="A21" s="392"/>
      <c r="B21" s="14"/>
      <c r="C21" s="382"/>
      <c r="D21" s="380"/>
      <c r="E21" s="379"/>
      <c r="F21" s="383"/>
      <c r="G21" s="383"/>
      <c r="H21" s="382"/>
      <c r="I21" s="113" t="s">
        <v>1568</v>
      </c>
      <c r="J21" s="80" t="s">
        <v>704</v>
      </c>
      <c r="K21" s="39">
        <v>10</v>
      </c>
      <c r="L21" s="375">
        <v>63</v>
      </c>
      <c r="M21" s="41">
        <f t="shared" si="0"/>
        <v>630</v>
      </c>
    </row>
    <row r="22" spans="1:13" s="10" customFormat="1" ht="55.05" customHeight="1" x14ac:dyDescent="0.25">
      <c r="A22" s="392"/>
      <c r="B22" s="14"/>
      <c r="C22" s="382"/>
      <c r="D22" s="380"/>
      <c r="E22" s="379"/>
      <c r="F22" s="383"/>
      <c r="G22" s="383"/>
      <c r="H22" s="382"/>
      <c r="I22" s="113" t="s">
        <v>1569</v>
      </c>
      <c r="J22" s="80" t="s">
        <v>704</v>
      </c>
      <c r="K22" s="39">
        <v>17</v>
      </c>
      <c r="L22" s="375">
        <v>602</v>
      </c>
      <c r="M22" s="41">
        <f t="shared" si="0"/>
        <v>10234</v>
      </c>
    </row>
    <row r="23" spans="1:13" s="10" customFormat="1" ht="49.95" customHeight="1" x14ac:dyDescent="0.25">
      <c r="A23" s="392">
        <v>9</v>
      </c>
      <c r="B23" s="14"/>
      <c r="C23" s="382">
        <v>45999</v>
      </c>
      <c r="D23" s="380">
        <v>2025121200010</v>
      </c>
      <c r="E23" s="379" t="s">
        <v>44</v>
      </c>
      <c r="F23" s="383" t="s">
        <v>1557</v>
      </c>
      <c r="G23" s="383" t="s">
        <v>1558</v>
      </c>
      <c r="H23" s="382">
        <v>46002</v>
      </c>
      <c r="I23" s="113" t="s">
        <v>1567</v>
      </c>
      <c r="J23" s="80" t="s">
        <v>704</v>
      </c>
      <c r="K23" s="39">
        <v>20</v>
      </c>
      <c r="L23" s="375">
        <v>70</v>
      </c>
      <c r="M23" s="41">
        <f t="shared" si="0"/>
        <v>1400</v>
      </c>
    </row>
    <row r="24" spans="1:13" s="10" customFormat="1" ht="49.95" customHeight="1" x14ac:dyDescent="0.25">
      <c r="A24" s="392"/>
      <c r="B24" s="14"/>
      <c r="C24" s="382"/>
      <c r="D24" s="380"/>
      <c r="E24" s="379"/>
      <c r="F24" s="383"/>
      <c r="G24" s="383"/>
      <c r="H24" s="382"/>
      <c r="I24" s="113" t="s">
        <v>1568</v>
      </c>
      <c r="J24" s="80" t="s">
        <v>704</v>
      </c>
      <c r="K24" s="39">
        <v>1</v>
      </c>
      <c r="L24" s="375">
        <v>63</v>
      </c>
      <c r="M24" s="41">
        <f t="shared" si="0"/>
        <v>63</v>
      </c>
    </row>
    <row r="25" spans="1:13" s="10" customFormat="1" ht="49.95" customHeight="1" x14ac:dyDescent="0.25">
      <c r="A25" s="392">
        <v>10</v>
      </c>
      <c r="B25" s="14"/>
      <c r="C25" s="382">
        <v>45999</v>
      </c>
      <c r="D25" s="380">
        <v>2025121200011</v>
      </c>
      <c r="E25" s="379" t="s">
        <v>44</v>
      </c>
      <c r="F25" s="383" t="s">
        <v>1559</v>
      </c>
      <c r="G25" s="383" t="s">
        <v>1560</v>
      </c>
      <c r="H25" s="382">
        <v>46001</v>
      </c>
      <c r="I25" s="113" t="s">
        <v>1567</v>
      </c>
      <c r="J25" s="80" t="s">
        <v>704</v>
      </c>
      <c r="K25" s="39">
        <v>100</v>
      </c>
      <c r="L25" s="375">
        <v>70</v>
      </c>
      <c r="M25" s="41">
        <f t="shared" si="0"/>
        <v>7000</v>
      </c>
    </row>
    <row r="26" spans="1:13" s="10" customFormat="1" ht="49.95" customHeight="1" x14ac:dyDescent="0.25">
      <c r="A26" s="392"/>
      <c r="B26" s="14"/>
      <c r="C26" s="382"/>
      <c r="D26" s="380"/>
      <c r="E26" s="379"/>
      <c r="F26" s="383"/>
      <c r="G26" s="383"/>
      <c r="H26" s="382"/>
      <c r="I26" s="113" t="s">
        <v>1568</v>
      </c>
      <c r="J26" s="80" t="s">
        <v>704</v>
      </c>
      <c r="K26" s="39">
        <v>5</v>
      </c>
      <c r="L26" s="375">
        <v>63</v>
      </c>
      <c r="M26" s="41">
        <f t="shared" si="0"/>
        <v>315</v>
      </c>
    </row>
    <row r="27" spans="1:13" s="10" customFormat="1" ht="49.95" customHeight="1" x14ac:dyDescent="0.25">
      <c r="A27" s="392">
        <v>11</v>
      </c>
      <c r="B27" s="14"/>
      <c r="C27" s="382">
        <v>46001</v>
      </c>
      <c r="D27" s="380">
        <v>2025121100003</v>
      </c>
      <c r="E27" s="397" t="s">
        <v>44</v>
      </c>
      <c r="F27" s="398" t="s">
        <v>1528</v>
      </c>
      <c r="G27" s="398" t="s">
        <v>1561</v>
      </c>
      <c r="H27" s="382">
        <v>46002</v>
      </c>
      <c r="I27" s="113" t="s">
        <v>1567</v>
      </c>
      <c r="J27" s="80" t="s">
        <v>704</v>
      </c>
      <c r="K27" s="39">
        <v>81</v>
      </c>
      <c r="L27" s="375">
        <v>70</v>
      </c>
      <c r="M27" s="41">
        <f t="shared" si="0"/>
        <v>5670</v>
      </c>
    </row>
    <row r="28" spans="1:13" s="10" customFormat="1" ht="49.95" customHeight="1" x14ac:dyDescent="0.25">
      <c r="A28" s="392"/>
      <c r="B28" s="14"/>
      <c r="C28" s="382"/>
      <c r="D28" s="380"/>
      <c r="E28" s="397"/>
      <c r="F28" s="398"/>
      <c r="G28" s="398"/>
      <c r="H28" s="382"/>
      <c r="I28" s="113" t="s">
        <v>1568</v>
      </c>
      <c r="J28" s="80" t="s">
        <v>704</v>
      </c>
      <c r="K28" s="39">
        <v>6</v>
      </c>
      <c r="L28" s="375">
        <v>63</v>
      </c>
      <c r="M28" s="41">
        <f t="shared" si="0"/>
        <v>378</v>
      </c>
    </row>
    <row r="29" spans="1:13" s="10" customFormat="1" ht="49.95" customHeight="1" x14ac:dyDescent="0.25">
      <c r="A29" s="392"/>
      <c r="B29" s="14"/>
      <c r="C29" s="382"/>
      <c r="D29" s="380"/>
      <c r="E29" s="397"/>
      <c r="F29" s="398"/>
      <c r="G29" s="398"/>
      <c r="H29" s="382"/>
      <c r="I29" s="113" t="s">
        <v>1570</v>
      </c>
      <c r="J29" s="80" t="s">
        <v>1006</v>
      </c>
      <c r="K29" s="39">
        <v>7</v>
      </c>
      <c r="L29" s="375">
        <v>530</v>
      </c>
      <c r="M29" s="41">
        <f t="shared" si="0"/>
        <v>3710</v>
      </c>
    </row>
    <row r="30" spans="1:13" s="10" customFormat="1" ht="49.95" customHeight="1" x14ac:dyDescent="0.25">
      <c r="A30" s="392"/>
      <c r="B30" s="14"/>
      <c r="C30" s="382"/>
      <c r="D30" s="380"/>
      <c r="E30" s="397"/>
      <c r="F30" s="398"/>
      <c r="G30" s="398"/>
      <c r="H30" s="382"/>
      <c r="I30" s="113" t="s">
        <v>1571</v>
      </c>
      <c r="J30" s="80" t="s">
        <v>604</v>
      </c>
      <c r="K30" s="39">
        <v>2</v>
      </c>
      <c r="L30" s="375">
        <v>366</v>
      </c>
      <c r="M30" s="41">
        <f t="shared" si="0"/>
        <v>732</v>
      </c>
    </row>
    <row r="31" spans="1:13" s="10" customFormat="1" ht="49.95" customHeight="1" x14ac:dyDescent="0.25">
      <c r="A31" s="392"/>
      <c r="B31" s="14"/>
      <c r="C31" s="382"/>
      <c r="D31" s="380"/>
      <c r="E31" s="397"/>
      <c r="F31" s="398"/>
      <c r="G31" s="398"/>
      <c r="H31" s="382"/>
      <c r="I31" s="113" t="s">
        <v>1573</v>
      </c>
      <c r="J31" s="80" t="s">
        <v>621</v>
      </c>
      <c r="K31" s="39">
        <v>1</v>
      </c>
      <c r="L31" s="375">
        <v>1445</v>
      </c>
      <c r="M31" s="41">
        <f t="shared" si="0"/>
        <v>1445</v>
      </c>
    </row>
    <row r="32" spans="1:13" s="10" customFormat="1" ht="49.95" customHeight="1" x14ac:dyDescent="0.25">
      <c r="A32" s="392">
        <v>12</v>
      </c>
      <c r="B32" s="14"/>
      <c r="C32" s="382">
        <v>46002</v>
      </c>
      <c r="D32" s="380">
        <v>2025121100001</v>
      </c>
      <c r="E32" s="379" t="s">
        <v>44</v>
      </c>
      <c r="F32" s="383" t="s">
        <v>1551</v>
      </c>
      <c r="G32" s="383" t="s">
        <v>1562</v>
      </c>
      <c r="H32" s="382">
        <v>46002</v>
      </c>
      <c r="I32" s="113" t="s">
        <v>1567</v>
      </c>
      <c r="J32" s="80" t="s">
        <v>704</v>
      </c>
      <c r="K32" s="39">
        <v>110</v>
      </c>
      <c r="L32" s="375">
        <v>70</v>
      </c>
      <c r="M32" s="41">
        <f t="shared" si="0"/>
        <v>7700</v>
      </c>
    </row>
    <row r="33" spans="1:13" s="10" customFormat="1" ht="49.95" customHeight="1" x14ac:dyDescent="0.25">
      <c r="A33" s="392"/>
      <c r="B33" s="14"/>
      <c r="C33" s="382"/>
      <c r="D33" s="380"/>
      <c r="E33" s="379"/>
      <c r="F33" s="383"/>
      <c r="G33" s="383"/>
      <c r="H33" s="382"/>
      <c r="I33" s="113" t="s">
        <v>1568</v>
      </c>
      <c r="J33" s="80" t="s">
        <v>704</v>
      </c>
      <c r="K33" s="39">
        <v>5</v>
      </c>
      <c r="L33" s="375">
        <v>63</v>
      </c>
      <c r="M33" s="41">
        <f t="shared" si="0"/>
        <v>315</v>
      </c>
    </row>
    <row r="34" spans="1:13" s="10" customFormat="1" ht="49.95" customHeight="1" x14ac:dyDescent="0.25">
      <c r="A34" s="392"/>
      <c r="B34" s="14"/>
      <c r="C34" s="382"/>
      <c r="D34" s="380"/>
      <c r="E34" s="379"/>
      <c r="F34" s="383"/>
      <c r="G34" s="383"/>
      <c r="H34" s="382"/>
      <c r="I34" s="113" t="s">
        <v>1571</v>
      </c>
      <c r="J34" s="80" t="s">
        <v>604</v>
      </c>
      <c r="K34" s="39">
        <v>2</v>
      </c>
      <c r="L34" s="375">
        <v>366</v>
      </c>
      <c r="M34" s="41">
        <f t="shared" si="0"/>
        <v>732</v>
      </c>
    </row>
    <row r="35" spans="1:13" s="10" customFormat="1" ht="49.95" customHeight="1" x14ac:dyDescent="0.25">
      <c r="A35" s="392">
        <v>13</v>
      </c>
      <c r="B35" s="14"/>
      <c r="C35" s="382">
        <v>46002</v>
      </c>
      <c r="D35" s="380">
        <v>2025121200006</v>
      </c>
      <c r="E35" s="379" t="s">
        <v>44</v>
      </c>
      <c r="F35" s="383" t="s">
        <v>1559</v>
      </c>
      <c r="G35" s="383" t="s">
        <v>1563</v>
      </c>
      <c r="H35" s="382">
        <v>46003</v>
      </c>
      <c r="I35" s="113" t="s">
        <v>1572</v>
      </c>
      <c r="J35" s="80" t="s">
        <v>595</v>
      </c>
      <c r="K35" s="39">
        <v>1</v>
      </c>
      <c r="L35" s="375">
        <v>12037</v>
      </c>
      <c r="M35" s="41">
        <f t="shared" si="0"/>
        <v>12037</v>
      </c>
    </row>
    <row r="36" spans="1:13" s="10" customFormat="1" ht="49.95" customHeight="1" x14ac:dyDescent="0.25">
      <c r="A36" s="392"/>
      <c r="B36" s="14"/>
      <c r="C36" s="382"/>
      <c r="D36" s="380"/>
      <c r="E36" s="379"/>
      <c r="F36" s="383"/>
      <c r="G36" s="383"/>
      <c r="H36" s="382"/>
      <c r="I36" s="113" t="s">
        <v>1362</v>
      </c>
      <c r="J36" s="80" t="s">
        <v>597</v>
      </c>
      <c r="K36" s="39">
        <v>1</v>
      </c>
      <c r="L36" s="375">
        <v>917</v>
      </c>
      <c r="M36" s="41">
        <f t="shared" si="0"/>
        <v>917</v>
      </c>
    </row>
    <row r="37" spans="1:13" s="10" customFormat="1" ht="49.95" customHeight="1" x14ac:dyDescent="0.25">
      <c r="A37" s="392">
        <v>14</v>
      </c>
      <c r="B37" s="14"/>
      <c r="C37" s="382">
        <v>46002</v>
      </c>
      <c r="D37" s="380">
        <v>2025121200007</v>
      </c>
      <c r="E37" s="379" t="s">
        <v>44</v>
      </c>
      <c r="F37" s="383" t="s">
        <v>1564</v>
      </c>
      <c r="G37" s="383" t="s">
        <v>1565</v>
      </c>
      <c r="H37" s="382">
        <v>46003</v>
      </c>
      <c r="I37" s="113" t="s">
        <v>1572</v>
      </c>
      <c r="J37" s="80" t="s">
        <v>595</v>
      </c>
      <c r="K37" s="39">
        <v>1</v>
      </c>
      <c r="L37" s="375">
        <v>12037</v>
      </c>
      <c r="M37" s="41">
        <f t="shared" ref="M37:M38" si="2">K37*L37</f>
        <v>12037</v>
      </c>
    </row>
    <row r="38" spans="1:13" s="10" customFormat="1" ht="49.95" customHeight="1" x14ac:dyDescent="0.25">
      <c r="A38" s="392"/>
      <c r="B38" s="14"/>
      <c r="C38" s="382"/>
      <c r="D38" s="380"/>
      <c r="E38" s="379"/>
      <c r="F38" s="383"/>
      <c r="G38" s="383"/>
      <c r="H38" s="382"/>
      <c r="I38" s="113" t="s">
        <v>1362</v>
      </c>
      <c r="J38" s="80" t="s">
        <v>597</v>
      </c>
      <c r="K38" s="39">
        <v>1</v>
      </c>
      <c r="L38" s="375">
        <v>917</v>
      </c>
      <c r="M38" s="41">
        <f t="shared" si="2"/>
        <v>917</v>
      </c>
    </row>
    <row r="39" spans="1:13" s="10" customFormat="1" ht="49.95" customHeight="1" x14ac:dyDescent="0.25">
      <c r="A39" s="392">
        <v>15</v>
      </c>
      <c r="B39" s="14"/>
      <c r="C39" s="382">
        <v>46002</v>
      </c>
      <c r="D39" s="380">
        <v>2025121200008</v>
      </c>
      <c r="E39" s="379" t="s">
        <v>44</v>
      </c>
      <c r="F39" s="383" t="s">
        <v>1557</v>
      </c>
      <c r="G39" s="383" t="s">
        <v>1566</v>
      </c>
      <c r="H39" s="382">
        <v>46003</v>
      </c>
      <c r="I39" s="113" t="s">
        <v>1572</v>
      </c>
      <c r="J39" s="80" t="s">
        <v>595</v>
      </c>
      <c r="K39" s="39">
        <v>1</v>
      </c>
      <c r="L39" s="375">
        <v>12037</v>
      </c>
      <c r="M39" s="41">
        <f t="shared" ref="M39:M40" si="3">K39*L39</f>
        <v>12037</v>
      </c>
    </row>
    <row r="40" spans="1:13" s="10" customFormat="1" ht="49.95" customHeight="1" x14ac:dyDescent="0.25">
      <c r="A40" s="392">
        <v>3</v>
      </c>
      <c r="B40" s="14"/>
      <c r="C40" s="382"/>
      <c r="D40" s="380"/>
      <c r="E40" s="379"/>
      <c r="F40" s="383"/>
      <c r="G40" s="383"/>
      <c r="H40" s="382"/>
      <c r="I40" s="113" t="s">
        <v>1362</v>
      </c>
      <c r="J40" s="80" t="s">
        <v>597</v>
      </c>
      <c r="K40" s="39">
        <v>1</v>
      </c>
      <c r="L40" s="375">
        <v>917</v>
      </c>
      <c r="M40" s="41">
        <f t="shared" si="3"/>
        <v>917</v>
      </c>
    </row>
    <row r="41" spans="1:13" s="10" customFormat="1" ht="64.95" customHeight="1" thickBot="1" x14ac:dyDescent="0.3">
      <c r="A41" s="341"/>
      <c r="B41" s="335"/>
      <c r="C41" s="335"/>
      <c r="D41" s="335"/>
      <c r="E41" s="335"/>
      <c r="F41" s="335"/>
      <c r="G41" s="335"/>
      <c r="H41" s="336"/>
      <c r="I41" s="391" t="s">
        <v>805</v>
      </c>
      <c r="J41" s="391"/>
      <c r="K41" s="391"/>
      <c r="L41" s="373"/>
      <c r="M41" s="374">
        <f>SUM(M4:M40)</f>
        <v>122248</v>
      </c>
    </row>
    <row r="42" spans="1:13" ht="26.4" customHeight="1" x14ac:dyDescent="0.25"/>
    <row r="47" spans="1:13" ht="15.75" customHeight="1" x14ac:dyDescent="0.25">
      <c r="F47" s="366" t="s">
        <v>172</v>
      </c>
      <c r="G47" s="358" t="s">
        <v>172</v>
      </c>
    </row>
    <row r="51" spans="7:7" ht="15.75" customHeight="1" x14ac:dyDescent="0.25">
      <c r="G51" s="358" t="s">
        <v>172</v>
      </c>
    </row>
  </sheetData>
  <autoFilter ref="A3:M41" xr:uid="{00000000-0009-0000-0000-000000000000}"/>
  <mergeCells count="102">
    <mergeCell ref="H37:H38"/>
    <mergeCell ref="A39:A40"/>
    <mergeCell ref="C39:C40"/>
    <mergeCell ref="D39:D40"/>
    <mergeCell ref="E39:E40"/>
    <mergeCell ref="F39:F40"/>
    <mergeCell ref="G39:G40"/>
    <mergeCell ref="H39:H40"/>
    <mergeCell ref="A37:A38"/>
    <mergeCell ref="C37:C38"/>
    <mergeCell ref="D37:D38"/>
    <mergeCell ref="E37:E38"/>
    <mergeCell ref="F37:F38"/>
    <mergeCell ref="G37:G38"/>
    <mergeCell ref="H32:H34"/>
    <mergeCell ref="A35:A36"/>
    <mergeCell ref="C35:C36"/>
    <mergeCell ref="D35:D36"/>
    <mergeCell ref="E35:E36"/>
    <mergeCell ref="F35:F36"/>
    <mergeCell ref="G35:G36"/>
    <mergeCell ref="H35:H36"/>
    <mergeCell ref="A32:A34"/>
    <mergeCell ref="C32:C34"/>
    <mergeCell ref="D32:D34"/>
    <mergeCell ref="E32:E34"/>
    <mergeCell ref="F32:F34"/>
    <mergeCell ref="G32:G34"/>
    <mergeCell ref="H25:H26"/>
    <mergeCell ref="A27:A31"/>
    <mergeCell ref="C27:C31"/>
    <mergeCell ref="D27:D31"/>
    <mergeCell ref="E27:E31"/>
    <mergeCell ref="F27:F31"/>
    <mergeCell ref="G27:G31"/>
    <mergeCell ref="H27:H31"/>
    <mergeCell ref="A25:A26"/>
    <mergeCell ref="C25:C26"/>
    <mergeCell ref="D25:D26"/>
    <mergeCell ref="E25:E26"/>
    <mergeCell ref="F25:F26"/>
    <mergeCell ref="G25:G26"/>
    <mergeCell ref="C16:C17"/>
    <mergeCell ref="D16:D17"/>
    <mergeCell ref="E16:E17"/>
    <mergeCell ref="F16:F17"/>
    <mergeCell ref="G16:G17"/>
    <mergeCell ref="H20:H22"/>
    <mergeCell ref="A23:A24"/>
    <mergeCell ref="C23:C24"/>
    <mergeCell ref="D23:D24"/>
    <mergeCell ref="E23:E24"/>
    <mergeCell ref="F23:F24"/>
    <mergeCell ref="G23:G24"/>
    <mergeCell ref="H23:H24"/>
    <mergeCell ref="A20:A22"/>
    <mergeCell ref="C20:C22"/>
    <mergeCell ref="D20:D22"/>
    <mergeCell ref="E20:E22"/>
    <mergeCell ref="F20:F22"/>
    <mergeCell ref="G20:G22"/>
    <mergeCell ref="A1:M1"/>
    <mergeCell ref="A2:F2"/>
    <mergeCell ref="G2:M2"/>
    <mergeCell ref="H11:H12"/>
    <mergeCell ref="A13:A15"/>
    <mergeCell ref="C13:C15"/>
    <mergeCell ref="D13:D15"/>
    <mergeCell ref="E13:E15"/>
    <mergeCell ref="F13:F15"/>
    <mergeCell ref="G13:G15"/>
    <mergeCell ref="H13:H15"/>
    <mergeCell ref="A11:A12"/>
    <mergeCell ref="C11:C12"/>
    <mergeCell ref="D11:D12"/>
    <mergeCell ref="E11:E12"/>
    <mergeCell ref="F11:F12"/>
    <mergeCell ref="G11:G12"/>
    <mergeCell ref="I41:K41"/>
    <mergeCell ref="C5:C7"/>
    <mergeCell ref="D5:D7"/>
    <mergeCell ref="A5:A7"/>
    <mergeCell ref="E5:E7"/>
    <mergeCell ref="F5:F7"/>
    <mergeCell ref="G5:G7"/>
    <mergeCell ref="H5:H7"/>
    <mergeCell ref="A8:A10"/>
    <mergeCell ref="C8:C10"/>
    <mergeCell ref="D8:D10"/>
    <mergeCell ref="E8:E10"/>
    <mergeCell ref="F8:F10"/>
    <mergeCell ref="G8:G10"/>
    <mergeCell ref="H8:H10"/>
    <mergeCell ref="H16:H17"/>
    <mergeCell ref="A18:A19"/>
    <mergeCell ref="C18:C19"/>
    <mergeCell ref="D18:D19"/>
    <mergeCell ref="E18:E19"/>
    <mergeCell ref="F18:F19"/>
    <mergeCell ref="G18:G19"/>
    <mergeCell ref="H18:H19"/>
    <mergeCell ref="A16:A17"/>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rowBreaks count="1" manualBreakCount="1">
    <brk id="19"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9ABB-5611-4E81-BF65-1A73A03B4CB0}">
  <sheetPr>
    <outlinePr summaryBelow="0" summaryRight="0"/>
    <pageSetUpPr fitToPage="1"/>
  </sheetPr>
  <dimension ref="A1:M17"/>
  <sheetViews>
    <sheetView view="pageBreakPreview" zoomScale="40" zoomScaleNormal="40" zoomScaleSheetLayoutView="40" workbookViewId="0">
      <pane ySplit="1" topLeftCell="A2" activePane="bottomLeft" state="frozen"/>
      <selection pane="bottomLeft" activeCell="I4" sqref="I4:K4"/>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27.1093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5"/>
      <c r="M1" s="386"/>
    </row>
    <row r="2" spans="1:13" s="8" customFormat="1" ht="50.1" customHeight="1" x14ac:dyDescent="0.3">
      <c r="A2" s="384" t="s">
        <v>12</v>
      </c>
      <c r="B2" s="385"/>
      <c r="C2" s="385"/>
      <c r="D2" s="385"/>
      <c r="E2" s="385"/>
      <c r="F2" s="385"/>
      <c r="G2" s="399" t="s">
        <v>1534</v>
      </c>
      <c r="H2" s="399"/>
      <c r="I2" s="399"/>
      <c r="J2" s="399"/>
      <c r="K2" s="399"/>
      <c r="L2" s="399"/>
      <c r="M2" s="400"/>
    </row>
    <row r="3" spans="1:13" s="10" customFormat="1" ht="49.8"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100.05" customHeight="1" x14ac:dyDescent="0.25">
      <c r="A4" s="19">
        <v>1</v>
      </c>
      <c r="B4" s="14"/>
      <c r="C4" s="113">
        <v>45987</v>
      </c>
      <c r="D4" s="151">
        <v>2025112700010</v>
      </c>
      <c r="E4" s="371" t="s">
        <v>136</v>
      </c>
      <c r="F4" s="372" t="s">
        <v>939</v>
      </c>
      <c r="G4" s="372" t="s">
        <v>1536</v>
      </c>
      <c r="H4" s="113">
        <v>45988</v>
      </c>
      <c r="I4" s="113" t="s">
        <v>1539</v>
      </c>
      <c r="J4" s="80" t="s">
        <v>600</v>
      </c>
      <c r="K4" s="39">
        <v>1</v>
      </c>
      <c r="L4" s="39">
        <v>476</v>
      </c>
      <c r="M4" s="41">
        <f t="shared" ref="M4:M6" si="0">K4*L4</f>
        <v>476</v>
      </c>
    </row>
    <row r="5" spans="1:13" s="10" customFormat="1" ht="100.05" customHeight="1" x14ac:dyDescent="0.25">
      <c r="A5" s="19">
        <v>2</v>
      </c>
      <c r="B5" s="14"/>
      <c r="C5" s="113">
        <v>45988</v>
      </c>
      <c r="D5" s="151">
        <v>2025112800001</v>
      </c>
      <c r="E5" s="371" t="s">
        <v>136</v>
      </c>
      <c r="F5" s="372" t="s">
        <v>1535</v>
      </c>
      <c r="G5" s="372" t="s">
        <v>1537</v>
      </c>
      <c r="H5" s="113">
        <v>45989</v>
      </c>
      <c r="I5" s="113" t="s">
        <v>1540</v>
      </c>
      <c r="J5" s="80" t="s">
        <v>621</v>
      </c>
      <c r="K5" s="39">
        <v>1</v>
      </c>
      <c r="L5" s="39">
        <v>689</v>
      </c>
      <c r="M5" s="41">
        <f t="shared" si="0"/>
        <v>689</v>
      </c>
    </row>
    <row r="6" spans="1:13" s="10" customFormat="1" ht="100.05" customHeight="1" x14ac:dyDescent="0.25">
      <c r="A6" s="19">
        <v>3</v>
      </c>
      <c r="B6" s="14"/>
      <c r="C6" s="113">
        <v>45989</v>
      </c>
      <c r="D6" s="151">
        <v>2025112800002</v>
      </c>
      <c r="E6" s="371" t="s">
        <v>136</v>
      </c>
      <c r="F6" s="372" t="s">
        <v>1504</v>
      </c>
      <c r="G6" s="372" t="s">
        <v>1538</v>
      </c>
      <c r="H6" s="113">
        <v>45989</v>
      </c>
      <c r="I6" s="113" t="s">
        <v>1541</v>
      </c>
      <c r="J6" s="80" t="s">
        <v>595</v>
      </c>
      <c r="K6" s="39">
        <v>1</v>
      </c>
      <c r="L6" s="39">
        <v>289</v>
      </c>
      <c r="M6" s="41">
        <f t="shared" si="0"/>
        <v>289</v>
      </c>
    </row>
    <row r="7" spans="1:13" s="10" customFormat="1" ht="64.95" customHeight="1" thickBot="1" x14ac:dyDescent="0.3">
      <c r="A7" s="341"/>
      <c r="B7" s="335"/>
      <c r="C7" s="335"/>
      <c r="D7" s="335"/>
      <c r="E7" s="335"/>
      <c r="F7" s="335"/>
      <c r="G7" s="335"/>
      <c r="H7" s="336"/>
      <c r="I7" s="391" t="s">
        <v>805</v>
      </c>
      <c r="J7" s="391"/>
      <c r="K7" s="391"/>
      <c r="L7" s="373"/>
      <c r="M7" s="374">
        <f>SUM(M4:M6)</f>
        <v>1454</v>
      </c>
    </row>
    <row r="8" spans="1:13" ht="26.4" customHeight="1" x14ac:dyDescent="0.25"/>
    <row r="13" spans="1:13" ht="15.75" customHeight="1" x14ac:dyDescent="0.25">
      <c r="F13" s="366" t="s">
        <v>172</v>
      </c>
      <c r="G13" s="358" t="s">
        <v>172</v>
      </c>
    </row>
    <row r="17" spans="7:7" ht="15.75" customHeight="1" x14ac:dyDescent="0.25">
      <c r="G17" s="358" t="s">
        <v>172</v>
      </c>
    </row>
  </sheetData>
  <autoFilter ref="A3:M7" xr:uid="{00000000-0009-0000-0000-000000000000}"/>
  <mergeCells count="4">
    <mergeCell ref="I7:K7"/>
    <mergeCell ref="A1:M1"/>
    <mergeCell ref="A2:F2"/>
    <mergeCell ref="G2:M2"/>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A5CB-F5A2-4E59-B168-8DD36A14ECC5}">
  <sheetPr>
    <outlinePr summaryBelow="0" summaryRight="0"/>
    <pageSetUpPr fitToPage="1"/>
  </sheetPr>
  <dimension ref="A1:M32"/>
  <sheetViews>
    <sheetView view="pageBreakPreview" zoomScale="40" zoomScaleNormal="40" zoomScaleSheetLayoutView="40" workbookViewId="0">
      <pane ySplit="1" topLeftCell="A6" activePane="bottomLeft" state="frozen"/>
      <selection pane="bottomLeft" activeCell="E15" sqref="E15:E16"/>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5"/>
      <c r="M1" s="386"/>
    </row>
    <row r="2" spans="1:13" s="8" customFormat="1" ht="50.1" customHeight="1" x14ac:dyDescent="0.3">
      <c r="A2" s="384" t="s">
        <v>12</v>
      </c>
      <c r="B2" s="385"/>
      <c r="C2" s="385"/>
      <c r="D2" s="385"/>
      <c r="E2" s="385"/>
      <c r="F2" s="385"/>
      <c r="G2" s="399" t="s">
        <v>1523</v>
      </c>
      <c r="H2" s="399"/>
      <c r="I2" s="399"/>
      <c r="J2" s="399"/>
      <c r="K2" s="399"/>
      <c r="L2" s="399"/>
      <c r="M2" s="400"/>
    </row>
    <row r="3" spans="1:13" s="10" customFormat="1" ht="49.8"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49.95" customHeight="1" x14ac:dyDescent="0.25">
      <c r="A4" s="392">
        <v>1</v>
      </c>
      <c r="B4" s="14"/>
      <c r="C4" s="382">
        <v>45932</v>
      </c>
      <c r="D4" s="380">
        <v>2025101600004</v>
      </c>
      <c r="E4" s="379" t="s">
        <v>107</v>
      </c>
      <c r="F4" s="383" t="s">
        <v>1532</v>
      </c>
      <c r="G4" s="401" t="s">
        <v>1524</v>
      </c>
      <c r="H4" s="382">
        <v>45933</v>
      </c>
      <c r="I4" s="80" t="s">
        <v>986</v>
      </c>
      <c r="J4" s="39" t="s">
        <v>637</v>
      </c>
      <c r="K4" s="39">
        <v>1</v>
      </c>
      <c r="L4" s="80">
        <v>191</v>
      </c>
      <c r="M4" s="41">
        <f t="shared" ref="M4:M20" si="0">K4*L4</f>
        <v>191</v>
      </c>
    </row>
    <row r="5" spans="1:13" s="10" customFormat="1" ht="49.95" customHeight="1" x14ac:dyDescent="0.25">
      <c r="A5" s="392"/>
      <c r="B5" s="14"/>
      <c r="C5" s="382"/>
      <c r="D5" s="380"/>
      <c r="E5" s="379"/>
      <c r="F5" s="383"/>
      <c r="G5" s="401"/>
      <c r="H5" s="382"/>
      <c r="I5" s="80" t="s">
        <v>616</v>
      </c>
      <c r="J5" s="39" t="s">
        <v>1415</v>
      </c>
      <c r="K5" s="39">
        <v>14</v>
      </c>
      <c r="L5" s="80">
        <v>713</v>
      </c>
      <c r="M5" s="41">
        <f t="shared" si="0"/>
        <v>9982</v>
      </c>
    </row>
    <row r="6" spans="1:13" s="10" customFormat="1" ht="49.95" customHeight="1" x14ac:dyDescent="0.25">
      <c r="A6" s="392"/>
      <c r="B6" s="14"/>
      <c r="C6" s="382"/>
      <c r="D6" s="380"/>
      <c r="E6" s="379"/>
      <c r="F6" s="383"/>
      <c r="G6" s="401"/>
      <c r="H6" s="382"/>
      <c r="I6" s="80" t="s">
        <v>630</v>
      </c>
      <c r="J6" s="39" t="s">
        <v>1415</v>
      </c>
      <c r="K6" s="39">
        <v>14</v>
      </c>
      <c r="L6" s="80">
        <v>173</v>
      </c>
      <c r="M6" s="41">
        <f t="shared" si="0"/>
        <v>2422</v>
      </c>
    </row>
    <row r="7" spans="1:13" s="10" customFormat="1" ht="49.95" customHeight="1" x14ac:dyDescent="0.25">
      <c r="A7" s="392">
        <v>2</v>
      </c>
      <c r="B7" s="14"/>
      <c r="C7" s="382">
        <v>45943</v>
      </c>
      <c r="D7" s="380">
        <v>2025102100002</v>
      </c>
      <c r="E7" s="379" t="s">
        <v>44</v>
      </c>
      <c r="F7" s="383" t="s">
        <v>1513</v>
      </c>
      <c r="G7" s="401" t="s">
        <v>1525</v>
      </c>
      <c r="H7" s="382">
        <v>45945</v>
      </c>
      <c r="I7" s="80" t="s">
        <v>617</v>
      </c>
      <c r="J7" s="39" t="s">
        <v>1266</v>
      </c>
      <c r="K7" s="39">
        <v>45</v>
      </c>
      <c r="L7" s="80">
        <v>70</v>
      </c>
      <c r="M7" s="41">
        <f t="shared" si="0"/>
        <v>3150</v>
      </c>
    </row>
    <row r="8" spans="1:13" s="10" customFormat="1" ht="49.95" customHeight="1" x14ac:dyDescent="0.25">
      <c r="A8" s="392"/>
      <c r="B8" s="14"/>
      <c r="C8" s="382"/>
      <c r="D8" s="380"/>
      <c r="E8" s="379"/>
      <c r="F8" s="383"/>
      <c r="G8" s="401"/>
      <c r="H8" s="382"/>
      <c r="I8" s="80" t="s">
        <v>619</v>
      </c>
      <c r="J8" s="39" t="s">
        <v>1266</v>
      </c>
      <c r="K8" s="39">
        <v>3</v>
      </c>
      <c r="L8" s="80">
        <v>63</v>
      </c>
      <c r="M8" s="41">
        <f t="shared" si="0"/>
        <v>189</v>
      </c>
    </row>
    <row r="9" spans="1:13" s="10" customFormat="1" ht="49.95" customHeight="1" x14ac:dyDescent="0.25">
      <c r="A9" s="392"/>
      <c r="B9" s="14"/>
      <c r="C9" s="382"/>
      <c r="D9" s="380"/>
      <c r="E9" s="379"/>
      <c r="F9" s="383"/>
      <c r="G9" s="401"/>
      <c r="H9" s="382"/>
      <c r="I9" s="80" t="s">
        <v>1470</v>
      </c>
      <c r="J9" s="39" t="s">
        <v>941</v>
      </c>
      <c r="K9" s="39">
        <v>1</v>
      </c>
      <c r="L9" s="80">
        <v>241</v>
      </c>
      <c r="M9" s="41">
        <f t="shared" si="0"/>
        <v>241</v>
      </c>
    </row>
    <row r="10" spans="1:13" s="10" customFormat="1" ht="49.95" customHeight="1" x14ac:dyDescent="0.25">
      <c r="A10" s="392"/>
      <c r="B10" s="14"/>
      <c r="C10" s="382"/>
      <c r="D10" s="380"/>
      <c r="E10" s="379"/>
      <c r="F10" s="383"/>
      <c r="G10" s="401"/>
      <c r="H10" s="382"/>
      <c r="I10" s="80" t="s">
        <v>725</v>
      </c>
      <c r="J10" s="39" t="s">
        <v>1371</v>
      </c>
      <c r="K10" s="39">
        <v>1</v>
      </c>
      <c r="L10" s="80">
        <v>3178</v>
      </c>
      <c r="M10" s="41">
        <f t="shared" si="0"/>
        <v>3178</v>
      </c>
    </row>
    <row r="11" spans="1:13" s="10" customFormat="1" ht="49.95" customHeight="1" x14ac:dyDescent="0.25">
      <c r="A11" s="392">
        <v>3</v>
      </c>
      <c r="B11" s="14"/>
      <c r="C11" s="382">
        <v>45949</v>
      </c>
      <c r="D11" s="380">
        <v>2025102200004</v>
      </c>
      <c r="E11" s="379" t="s">
        <v>44</v>
      </c>
      <c r="F11" s="383" t="s">
        <v>1526</v>
      </c>
      <c r="G11" s="401" t="s">
        <v>1527</v>
      </c>
      <c r="H11" s="382">
        <v>45951</v>
      </c>
      <c r="I11" s="80" t="s">
        <v>598</v>
      </c>
      <c r="J11" s="39" t="s">
        <v>1407</v>
      </c>
      <c r="K11" s="39">
        <v>1</v>
      </c>
      <c r="L11" s="80">
        <v>12037</v>
      </c>
      <c r="M11" s="41">
        <f t="shared" si="0"/>
        <v>12037</v>
      </c>
    </row>
    <row r="12" spans="1:13" s="10" customFormat="1" ht="49.95" customHeight="1" x14ac:dyDescent="0.25">
      <c r="A12" s="392"/>
      <c r="B12" s="14"/>
      <c r="C12" s="382"/>
      <c r="D12" s="380"/>
      <c r="E12" s="379"/>
      <c r="F12" s="383"/>
      <c r="G12" s="401"/>
      <c r="H12" s="382"/>
      <c r="I12" s="80" t="s">
        <v>599</v>
      </c>
      <c r="J12" s="39" t="s">
        <v>1047</v>
      </c>
      <c r="K12" s="39">
        <v>1</v>
      </c>
      <c r="L12" s="80">
        <v>917</v>
      </c>
      <c r="M12" s="41">
        <f t="shared" si="0"/>
        <v>917</v>
      </c>
    </row>
    <row r="13" spans="1:13" s="10" customFormat="1" ht="49.95" customHeight="1" x14ac:dyDescent="0.25">
      <c r="A13" s="392"/>
      <c r="B13" s="14"/>
      <c r="C13" s="382"/>
      <c r="D13" s="380"/>
      <c r="E13" s="379"/>
      <c r="F13" s="383"/>
      <c r="G13" s="401"/>
      <c r="H13" s="382"/>
      <c r="I13" s="80" t="s">
        <v>1337</v>
      </c>
      <c r="J13" s="39" t="s">
        <v>1415</v>
      </c>
      <c r="K13" s="39">
        <v>7</v>
      </c>
      <c r="L13" s="80">
        <v>530</v>
      </c>
      <c r="M13" s="41">
        <f t="shared" si="0"/>
        <v>3710</v>
      </c>
    </row>
    <row r="14" spans="1:13" s="10" customFormat="1" ht="49.95" customHeight="1" x14ac:dyDescent="0.25">
      <c r="A14" s="392"/>
      <c r="B14" s="14"/>
      <c r="C14" s="382"/>
      <c r="D14" s="380"/>
      <c r="E14" s="379"/>
      <c r="F14" s="383"/>
      <c r="G14" s="401"/>
      <c r="H14" s="382"/>
      <c r="I14" s="80" t="s">
        <v>1191</v>
      </c>
      <c r="J14" s="39" t="s">
        <v>941</v>
      </c>
      <c r="K14" s="39">
        <v>1</v>
      </c>
      <c r="L14" s="80">
        <v>689</v>
      </c>
      <c r="M14" s="41">
        <f t="shared" si="0"/>
        <v>689</v>
      </c>
    </row>
    <row r="15" spans="1:13" s="10" customFormat="1" ht="49.95" customHeight="1" x14ac:dyDescent="0.25">
      <c r="A15" s="392">
        <v>4</v>
      </c>
      <c r="B15" s="14"/>
      <c r="C15" s="382">
        <v>45950</v>
      </c>
      <c r="D15" s="380">
        <v>2025102200005</v>
      </c>
      <c r="E15" s="379" t="s">
        <v>44</v>
      </c>
      <c r="F15" s="383" t="s">
        <v>1528</v>
      </c>
      <c r="G15" s="401" t="s">
        <v>1529</v>
      </c>
      <c r="H15" s="382">
        <v>45951</v>
      </c>
      <c r="I15" s="80" t="s">
        <v>598</v>
      </c>
      <c r="J15" s="39" t="s">
        <v>1407</v>
      </c>
      <c r="K15" s="39">
        <v>1</v>
      </c>
      <c r="L15" s="80">
        <v>12037</v>
      </c>
      <c r="M15" s="41">
        <f t="shared" si="0"/>
        <v>12037</v>
      </c>
    </row>
    <row r="16" spans="1:13" s="10" customFormat="1" ht="49.95" customHeight="1" x14ac:dyDescent="0.25">
      <c r="A16" s="392"/>
      <c r="B16" s="14"/>
      <c r="C16" s="382"/>
      <c r="D16" s="380"/>
      <c r="E16" s="379"/>
      <c r="F16" s="383"/>
      <c r="G16" s="401"/>
      <c r="H16" s="382"/>
      <c r="I16" s="80" t="s">
        <v>599</v>
      </c>
      <c r="J16" s="39" t="s">
        <v>1047</v>
      </c>
      <c r="K16" s="39">
        <v>1</v>
      </c>
      <c r="L16" s="80">
        <v>917</v>
      </c>
      <c r="M16" s="41">
        <f t="shared" si="0"/>
        <v>917</v>
      </c>
    </row>
    <row r="17" spans="1:13" s="10" customFormat="1" ht="49.95" customHeight="1" x14ac:dyDescent="0.25">
      <c r="A17" s="392">
        <v>5</v>
      </c>
      <c r="B17" s="14"/>
      <c r="C17" s="382">
        <v>45957</v>
      </c>
      <c r="D17" s="380">
        <v>2025103000001</v>
      </c>
      <c r="E17" s="379" t="s">
        <v>107</v>
      </c>
      <c r="F17" s="383" t="s">
        <v>1530</v>
      </c>
      <c r="G17" s="401" t="s">
        <v>1531</v>
      </c>
      <c r="H17" s="382">
        <v>45959</v>
      </c>
      <c r="I17" s="80" t="s">
        <v>1419</v>
      </c>
      <c r="J17" s="39" t="s">
        <v>1420</v>
      </c>
      <c r="K17" s="39">
        <v>1</v>
      </c>
      <c r="L17" s="80">
        <v>2140</v>
      </c>
      <c r="M17" s="41">
        <f t="shared" si="0"/>
        <v>2140</v>
      </c>
    </row>
    <row r="18" spans="1:13" s="10" customFormat="1" ht="49.95" customHeight="1" x14ac:dyDescent="0.25">
      <c r="A18" s="392"/>
      <c r="B18" s="14"/>
      <c r="C18" s="382"/>
      <c r="D18" s="380"/>
      <c r="E18" s="379"/>
      <c r="F18" s="383"/>
      <c r="G18" s="401"/>
      <c r="H18" s="382"/>
      <c r="I18" s="80" t="s">
        <v>1244</v>
      </c>
      <c r="J18" s="39" t="s">
        <v>637</v>
      </c>
      <c r="K18" s="39">
        <v>1</v>
      </c>
      <c r="L18" s="80">
        <v>476</v>
      </c>
      <c r="M18" s="41">
        <f t="shared" si="0"/>
        <v>476</v>
      </c>
    </row>
    <row r="19" spans="1:13" s="10" customFormat="1" ht="49.95" customHeight="1" x14ac:dyDescent="0.25">
      <c r="A19" s="392"/>
      <c r="B19" s="14"/>
      <c r="C19" s="382"/>
      <c r="D19" s="380"/>
      <c r="E19" s="379"/>
      <c r="F19" s="383"/>
      <c r="G19" s="401"/>
      <c r="H19" s="382"/>
      <c r="I19" s="80" t="s">
        <v>1007</v>
      </c>
      <c r="J19" s="39" t="s">
        <v>637</v>
      </c>
      <c r="K19" s="39">
        <v>1</v>
      </c>
      <c r="L19" s="80">
        <v>1304</v>
      </c>
      <c r="M19" s="41">
        <f t="shared" si="0"/>
        <v>1304</v>
      </c>
    </row>
    <row r="20" spans="1:13" s="10" customFormat="1" ht="49.95" customHeight="1" x14ac:dyDescent="0.25">
      <c r="A20" s="392"/>
      <c r="B20" s="14"/>
      <c r="C20" s="382"/>
      <c r="D20" s="380"/>
      <c r="E20" s="379"/>
      <c r="F20" s="383"/>
      <c r="G20" s="401"/>
      <c r="H20" s="382"/>
      <c r="I20" s="80" t="s">
        <v>1533</v>
      </c>
      <c r="J20" s="39" t="s">
        <v>941</v>
      </c>
      <c r="K20" s="39">
        <v>2</v>
      </c>
      <c r="L20" s="80">
        <v>144</v>
      </c>
      <c r="M20" s="41">
        <f t="shared" si="0"/>
        <v>288</v>
      </c>
    </row>
    <row r="21" spans="1:13" s="10" customFormat="1" ht="49.95" customHeight="1" x14ac:dyDescent="0.25">
      <c r="A21" s="392"/>
      <c r="B21" s="14"/>
      <c r="C21" s="382"/>
      <c r="D21" s="380"/>
      <c r="E21" s="379"/>
      <c r="F21" s="383"/>
      <c r="G21" s="401"/>
      <c r="H21" s="382"/>
      <c r="I21" s="80" t="s">
        <v>1470</v>
      </c>
      <c r="J21" s="39" t="s">
        <v>941</v>
      </c>
      <c r="K21" s="39">
        <v>1</v>
      </c>
      <c r="L21" s="80">
        <v>241</v>
      </c>
      <c r="M21" s="41">
        <f>K21*L21</f>
        <v>241</v>
      </c>
    </row>
    <row r="22" spans="1:13" s="10" customFormat="1" ht="64.95" customHeight="1" thickBot="1" x14ac:dyDescent="0.3">
      <c r="A22" s="341"/>
      <c r="B22" s="335"/>
      <c r="C22" s="335"/>
      <c r="D22" s="335"/>
      <c r="E22" s="335"/>
      <c r="F22" s="335"/>
      <c r="G22" s="335"/>
      <c r="H22" s="336"/>
      <c r="I22" s="402" t="s">
        <v>805</v>
      </c>
      <c r="J22" s="403"/>
      <c r="K22" s="404"/>
      <c r="L22" s="365"/>
      <c r="M22" s="285">
        <f>SUM(M4:M21)</f>
        <v>54109</v>
      </c>
    </row>
    <row r="23" spans="1:13" ht="26.4" customHeight="1" x14ac:dyDescent="0.25"/>
    <row r="28" spans="1:13" ht="15.75" customHeight="1" x14ac:dyDescent="0.25">
      <c r="F28" s="366" t="s">
        <v>172</v>
      </c>
      <c r="G28" s="358" t="s">
        <v>172</v>
      </c>
    </row>
    <row r="32" spans="1:13" ht="15.75" customHeight="1" x14ac:dyDescent="0.25">
      <c r="G32" s="358" t="s">
        <v>172</v>
      </c>
    </row>
  </sheetData>
  <autoFilter ref="A3:M22" xr:uid="{00000000-0009-0000-0000-000000000000}"/>
  <mergeCells count="39">
    <mergeCell ref="A1:M1"/>
    <mergeCell ref="A2:F2"/>
    <mergeCell ref="G2:M2"/>
    <mergeCell ref="A4:A6"/>
    <mergeCell ref="A11:A14"/>
    <mergeCell ref="C11:C14"/>
    <mergeCell ref="E11:E14"/>
    <mergeCell ref="F11:F14"/>
    <mergeCell ref="G11:G14"/>
    <mergeCell ref="H11:H14"/>
    <mergeCell ref="A7:A10"/>
    <mergeCell ref="F7:F10"/>
    <mergeCell ref="I22:K22"/>
    <mergeCell ref="C4:C6"/>
    <mergeCell ref="D4:D6"/>
    <mergeCell ref="E4:E6"/>
    <mergeCell ref="F4:F6"/>
    <mergeCell ref="G4:G6"/>
    <mergeCell ref="H4:H6"/>
    <mergeCell ref="C7:C10"/>
    <mergeCell ref="D7:D10"/>
    <mergeCell ref="E7:E10"/>
    <mergeCell ref="G7:G10"/>
    <mergeCell ref="H7:H10"/>
    <mergeCell ref="D11:D14"/>
    <mergeCell ref="H15:H16"/>
    <mergeCell ref="G17:G21"/>
    <mergeCell ref="H17:H21"/>
    <mergeCell ref="G15:G16"/>
    <mergeCell ref="A17:A21"/>
    <mergeCell ref="C17:C21"/>
    <mergeCell ref="D17:D21"/>
    <mergeCell ref="E17:E21"/>
    <mergeCell ref="F17:F21"/>
    <mergeCell ref="A15:A16"/>
    <mergeCell ref="C15:C16"/>
    <mergeCell ref="D15:D16"/>
    <mergeCell ref="E15:E16"/>
    <mergeCell ref="F15:F16"/>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40BE-22CF-4186-B6C5-0BF5A8485D25}">
  <sheetPr>
    <outlinePr summaryBelow="0" summaryRight="0"/>
    <pageSetUpPr fitToPage="1"/>
  </sheetPr>
  <dimension ref="A1:M29"/>
  <sheetViews>
    <sheetView view="pageBreakPreview" zoomScale="40" zoomScaleNormal="40" zoomScaleSheetLayoutView="40" workbookViewId="0">
      <pane ySplit="1" topLeftCell="A2" activePane="bottomLeft" state="frozen"/>
      <selection pane="bottomLeft" activeCell="E16" sqref="E16"/>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5"/>
      <c r="M1" s="386"/>
    </row>
    <row r="2" spans="1:13" s="8" customFormat="1" ht="50.1" customHeight="1" x14ac:dyDescent="0.3">
      <c r="A2" s="384" t="s">
        <v>12</v>
      </c>
      <c r="B2" s="385"/>
      <c r="C2" s="385"/>
      <c r="D2" s="385"/>
      <c r="E2" s="385"/>
      <c r="F2" s="385"/>
      <c r="G2" s="399" t="s">
        <v>1509</v>
      </c>
      <c r="H2" s="399"/>
      <c r="I2" s="399"/>
      <c r="J2" s="399"/>
      <c r="K2" s="399"/>
      <c r="L2" s="399"/>
      <c r="M2" s="400"/>
    </row>
    <row r="3" spans="1:13" s="10" customFormat="1" ht="49.8"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55.05" customHeight="1" x14ac:dyDescent="0.25">
      <c r="A4" s="405">
        <v>1</v>
      </c>
      <c r="B4" s="14"/>
      <c r="C4" s="412">
        <v>45901</v>
      </c>
      <c r="D4" s="414">
        <v>2025090100002</v>
      </c>
      <c r="E4" s="416" t="s">
        <v>44</v>
      </c>
      <c r="F4" s="407" t="s">
        <v>1502</v>
      </c>
      <c r="G4" s="409" t="s">
        <v>1516</v>
      </c>
      <c r="H4" s="412">
        <v>45901</v>
      </c>
      <c r="I4" s="80" t="s">
        <v>598</v>
      </c>
      <c r="J4" s="39" t="s">
        <v>1407</v>
      </c>
      <c r="K4" s="39">
        <v>1</v>
      </c>
      <c r="L4" s="80">
        <v>12037</v>
      </c>
      <c r="M4" s="41">
        <f t="shared" ref="M4:M18" si="0">K4*L4</f>
        <v>12037</v>
      </c>
    </row>
    <row r="5" spans="1:13" s="10" customFormat="1" ht="55.05" customHeight="1" x14ac:dyDescent="0.25">
      <c r="A5" s="411"/>
      <c r="B5" s="14"/>
      <c r="C5" s="413"/>
      <c r="D5" s="415"/>
      <c r="E5" s="417"/>
      <c r="F5" s="408"/>
      <c r="G5" s="410"/>
      <c r="H5" s="413"/>
      <c r="I5" s="80" t="s">
        <v>599</v>
      </c>
      <c r="J5" s="39" t="s">
        <v>1047</v>
      </c>
      <c r="K5" s="39">
        <v>1</v>
      </c>
      <c r="L5" s="80">
        <v>917</v>
      </c>
      <c r="M5" s="41">
        <f t="shared" si="0"/>
        <v>917</v>
      </c>
    </row>
    <row r="6" spans="1:13" s="10" customFormat="1" ht="55.05" customHeight="1" x14ac:dyDescent="0.25">
      <c r="A6" s="405">
        <v>2</v>
      </c>
      <c r="B6" s="14"/>
      <c r="C6" s="412">
        <v>45901</v>
      </c>
      <c r="D6" s="414">
        <v>2025090100003</v>
      </c>
      <c r="E6" s="416" t="s">
        <v>44</v>
      </c>
      <c r="F6" s="407" t="s">
        <v>1500</v>
      </c>
      <c r="G6" s="409" t="s">
        <v>1516</v>
      </c>
      <c r="H6" s="412">
        <v>45901</v>
      </c>
      <c r="I6" s="80" t="s">
        <v>598</v>
      </c>
      <c r="J6" s="39" t="s">
        <v>1407</v>
      </c>
      <c r="K6" s="39">
        <v>1</v>
      </c>
      <c r="L6" s="80">
        <v>12037</v>
      </c>
      <c r="M6" s="41">
        <f t="shared" si="0"/>
        <v>12037</v>
      </c>
    </row>
    <row r="7" spans="1:13" s="10" customFormat="1" ht="55.05" customHeight="1" x14ac:dyDescent="0.25">
      <c r="A7" s="411"/>
      <c r="B7" s="14"/>
      <c r="C7" s="413"/>
      <c r="D7" s="415"/>
      <c r="E7" s="417"/>
      <c r="F7" s="408"/>
      <c r="G7" s="410"/>
      <c r="H7" s="413"/>
      <c r="I7" s="80" t="s">
        <v>599</v>
      </c>
      <c r="J7" s="39" t="s">
        <v>1047</v>
      </c>
      <c r="K7" s="39">
        <v>1</v>
      </c>
      <c r="L7" s="80">
        <v>917</v>
      </c>
      <c r="M7" s="41">
        <f t="shared" si="0"/>
        <v>917</v>
      </c>
    </row>
    <row r="8" spans="1:13" s="10" customFormat="1" ht="55.05" customHeight="1" x14ac:dyDescent="0.25">
      <c r="A8" s="405">
        <v>3</v>
      </c>
      <c r="B8" s="14"/>
      <c r="C8" s="412">
        <v>45901</v>
      </c>
      <c r="D8" s="414">
        <v>2025090100004</v>
      </c>
      <c r="E8" s="416" t="s">
        <v>44</v>
      </c>
      <c r="F8" s="407" t="s">
        <v>1504</v>
      </c>
      <c r="G8" s="409" t="s">
        <v>1517</v>
      </c>
      <c r="H8" s="412">
        <v>45901</v>
      </c>
      <c r="I8" s="80" t="s">
        <v>598</v>
      </c>
      <c r="J8" s="39" t="s">
        <v>1407</v>
      </c>
      <c r="K8" s="39">
        <v>1</v>
      </c>
      <c r="L8" s="80">
        <v>12037</v>
      </c>
      <c r="M8" s="41">
        <f t="shared" si="0"/>
        <v>12037</v>
      </c>
    </row>
    <row r="9" spans="1:13" s="10" customFormat="1" ht="55.05" customHeight="1" x14ac:dyDescent="0.25">
      <c r="A9" s="406"/>
      <c r="B9" s="14"/>
      <c r="C9" s="413"/>
      <c r="D9" s="415"/>
      <c r="E9" s="417"/>
      <c r="F9" s="408"/>
      <c r="G9" s="410"/>
      <c r="H9" s="413"/>
      <c r="I9" s="80" t="s">
        <v>599</v>
      </c>
      <c r="J9" s="39" t="s">
        <v>1047</v>
      </c>
      <c r="K9" s="39">
        <v>1</v>
      </c>
      <c r="L9" s="80">
        <v>917</v>
      </c>
      <c r="M9" s="41">
        <f t="shared" si="0"/>
        <v>917</v>
      </c>
    </row>
    <row r="10" spans="1:13" s="10" customFormat="1" ht="55.05" customHeight="1" x14ac:dyDescent="0.25">
      <c r="A10" s="405">
        <v>4</v>
      </c>
      <c r="B10" s="14"/>
      <c r="C10" s="412">
        <v>45901</v>
      </c>
      <c r="D10" s="414">
        <v>2025093000004</v>
      </c>
      <c r="E10" s="416" t="s">
        <v>44</v>
      </c>
      <c r="F10" s="407" t="s">
        <v>1511</v>
      </c>
      <c r="G10" s="409" t="s">
        <v>1518</v>
      </c>
      <c r="H10" s="412">
        <v>45901</v>
      </c>
      <c r="I10" s="80" t="s">
        <v>598</v>
      </c>
      <c r="J10" s="39" t="s">
        <v>1407</v>
      </c>
      <c r="K10" s="39">
        <v>1</v>
      </c>
      <c r="L10" s="80">
        <v>12037</v>
      </c>
      <c r="M10" s="41">
        <f t="shared" si="0"/>
        <v>12037</v>
      </c>
    </row>
    <row r="11" spans="1:13" s="10" customFormat="1" ht="55.05" customHeight="1" x14ac:dyDescent="0.25">
      <c r="A11" s="411"/>
      <c r="B11" s="14"/>
      <c r="C11" s="413"/>
      <c r="D11" s="415"/>
      <c r="E11" s="417"/>
      <c r="F11" s="408"/>
      <c r="G11" s="410"/>
      <c r="H11" s="413"/>
      <c r="I11" s="80" t="s">
        <v>599</v>
      </c>
      <c r="J11" s="39" t="s">
        <v>1047</v>
      </c>
      <c r="K11" s="39">
        <v>1</v>
      </c>
      <c r="L11" s="80">
        <v>917</v>
      </c>
      <c r="M11" s="41">
        <f t="shared" si="0"/>
        <v>917</v>
      </c>
    </row>
    <row r="12" spans="1:13" s="10" customFormat="1" ht="55.05" customHeight="1" x14ac:dyDescent="0.25">
      <c r="A12" s="405">
        <v>5</v>
      </c>
      <c r="B12" s="14"/>
      <c r="C12" s="412">
        <v>45901</v>
      </c>
      <c r="D12" s="414">
        <v>2025100100003</v>
      </c>
      <c r="E12" s="416" t="s">
        <v>44</v>
      </c>
      <c r="F12" s="407" t="s">
        <v>1512</v>
      </c>
      <c r="G12" s="409" t="s">
        <v>1522</v>
      </c>
      <c r="H12" s="412">
        <v>45901</v>
      </c>
      <c r="I12" s="80" t="s">
        <v>598</v>
      </c>
      <c r="J12" s="39" t="s">
        <v>1407</v>
      </c>
      <c r="K12" s="39">
        <v>1</v>
      </c>
      <c r="L12" s="80">
        <v>12037</v>
      </c>
      <c r="M12" s="41">
        <f t="shared" si="0"/>
        <v>12037</v>
      </c>
    </row>
    <row r="13" spans="1:13" s="10" customFormat="1" ht="55.05" customHeight="1" x14ac:dyDescent="0.25">
      <c r="A13" s="411"/>
      <c r="B13" s="14"/>
      <c r="C13" s="413"/>
      <c r="D13" s="415"/>
      <c r="E13" s="417"/>
      <c r="F13" s="408"/>
      <c r="G13" s="410"/>
      <c r="H13" s="413"/>
      <c r="I13" s="80" t="s">
        <v>599</v>
      </c>
      <c r="J13" s="39" t="s">
        <v>1047</v>
      </c>
      <c r="K13" s="39">
        <v>1</v>
      </c>
      <c r="L13" s="80">
        <v>917</v>
      </c>
      <c r="M13" s="41">
        <f t="shared" si="0"/>
        <v>917</v>
      </c>
    </row>
    <row r="14" spans="1:13" s="10" customFormat="1" ht="55.05" customHeight="1" x14ac:dyDescent="0.25">
      <c r="A14" s="405">
        <v>6</v>
      </c>
      <c r="B14" s="14"/>
      <c r="C14" s="412">
        <v>45904</v>
      </c>
      <c r="D14" s="414">
        <v>2025093000003</v>
      </c>
      <c r="E14" s="416" t="s">
        <v>44</v>
      </c>
      <c r="F14" s="407" t="s">
        <v>1513</v>
      </c>
      <c r="G14" s="409" t="s">
        <v>1521</v>
      </c>
      <c r="H14" s="412">
        <v>45905</v>
      </c>
      <c r="I14" s="80" t="s">
        <v>598</v>
      </c>
      <c r="J14" s="39" t="s">
        <v>1407</v>
      </c>
      <c r="K14" s="39">
        <v>1</v>
      </c>
      <c r="L14" s="80">
        <v>12037</v>
      </c>
      <c r="M14" s="41">
        <f t="shared" si="0"/>
        <v>12037</v>
      </c>
    </row>
    <row r="15" spans="1:13" s="10" customFormat="1" ht="55.05" customHeight="1" x14ac:dyDescent="0.25">
      <c r="A15" s="411"/>
      <c r="B15" s="14"/>
      <c r="C15" s="413"/>
      <c r="D15" s="415"/>
      <c r="E15" s="417"/>
      <c r="F15" s="408"/>
      <c r="G15" s="410"/>
      <c r="H15" s="413"/>
      <c r="I15" s="80" t="s">
        <v>599</v>
      </c>
      <c r="J15" s="39" t="s">
        <v>1047</v>
      </c>
      <c r="K15" s="39">
        <v>1</v>
      </c>
      <c r="L15" s="80">
        <v>917</v>
      </c>
      <c r="M15" s="41">
        <f t="shared" si="0"/>
        <v>917</v>
      </c>
    </row>
    <row r="16" spans="1:13" s="10" customFormat="1" ht="100.05" customHeight="1" x14ac:dyDescent="0.25">
      <c r="A16" s="367">
        <v>7</v>
      </c>
      <c r="B16" s="14"/>
      <c r="C16" s="113">
        <v>45910</v>
      </c>
      <c r="D16" s="297">
        <v>2025091600001</v>
      </c>
      <c r="E16" s="369" t="s">
        <v>136</v>
      </c>
      <c r="F16" s="370" t="s">
        <v>1510</v>
      </c>
      <c r="G16" s="167" t="s">
        <v>1519</v>
      </c>
      <c r="H16" s="113">
        <v>45912</v>
      </c>
      <c r="I16" s="80" t="s">
        <v>725</v>
      </c>
      <c r="J16" s="39" t="s">
        <v>1371</v>
      </c>
      <c r="K16" s="39">
        <v>1</v>
      </c>
      <c r="L16" s="80">
        <v>3178</v>
      </c>
      <c r="M16" s="41">
        <f t="shared" si="0"/>
        <v>3178</v>
      </c>
    </row>
    <row r="17" spans="1:13" s="10" customFormat="1" ht="85.05" customHeight="1" x14ac:dyDescent="0.25">
      <c r="A17" s="405">
        <v>8</v>
      </c>
      <c r="B17" s="14"/>
      <c r="C17" s="412">
        <v>45928</v>
      </c>
      <c r="D17" s="414">
        <v>2025100200003</v>
      </c>
      <c r="E17" s="416" t="s">
        <v>1514</v>
      </c>
      <c r="F17" s="407" t="s">
        <v>1515</v>
      </c>
      <c r="G17" s="409" t="s">
        <v>1520</v>
      </c>
      <c r="H17" s="412">
        <v>45930</v>
      </c>
      <c r="I17" s="80" t="s">
        <v>617</v>
      </c>
      <c r="J17" s="39" t="s">
        <v>1266</v>
      </c>
      <c r="K17" s="39">
        <v>31</v>
      </c>
      <c r="L17" s="80">
        <v>70</v>
      </c>
      <c r="M17" s="41">
        <f t="shared" si="0"/>
        <v>2170</v>
      </c>
    </row>
    <row r="18" spans="1:13" s="10" customFormat="1" ht="85.05" customHeight="1" x14ac:dyDescent="0.25">
      <c r="A18" s="411"/>
      <c r="B18" s="14"/>
      <c r="C18" s="413"/>
      <c r="D18" s="415"/>
      <c r="E18" s="417"/>
      <c r="F18" s="408"/>
      <c r="G18" s="410"/>
      <c r="H18" s="413"/>
      <c r="I18" s="80" t="s">
        <v>623</v>
      </c>
      <c r="J18" s="39" t="s">
        <v>1266</v>
      </c>
      <c r="K18" s="39">
        <v>3</v>
      </c>
      <c r="L18" s="80">
        <v>602</v>
      </c>
      <c r="M18" s="41">
        <f t="shared" si="0"/>
        <v>1806</v>
      </c>
    </row>
    <row r="19" spans="1:13" s="10" customFormat="1" ht="64.95" customHeight="1" thickBot="1" x14ac:dyDescent="0.3">
      <c r="A19" s="341"/>
      <c r="B19" s="335"/>
      <c r="C19" s="335"/>
      <c r="D19" s="335"/>
      <c r="E19" s="335"/>
      <c r="F19" s="335"/>
      <c r="G19" s="335"/>
      <c r="H19" s="336"/>
      <c r="I19" s="402" t="s">
        <v>805</v>
      </c>
      <c r="J19" s="403"/>
      <c r="K19" s="404"/>
      <c r="L19" s="365"/>
      <c r="M19" s="285">
        <f>SUM(M4:M18)</f>
        <v>84878</v>
      </c>
    </row>
    <row r="20" spans="1:13" ht="26.4" customHeight="1" x14ac:dyDescent="0.25"/>
    <row r="25" spans="1:13" ht="15.75" customHeight="1" x14ac:dyDescent="0.25">
      <c r="F25" s="366" t="s">
        <v>172</v>
      </c>
      <c r="G25" s="358" t="s">
        <v>172</v>
      </c>
    </row>
    <row r="29" spans="1:13" ht="15.75" customHeight="1" x14ac:dyDescent="0.25">
      <c r="G29" s="358" t="s">
        <v>172</v>
      </c>
    </row>
  </sheetData>
  <autoFilter ref="A3:M19" xr:uid="{00000000-0009-0000-0000-000000000000}"/>
  <mergeCells count="53">
    <mergeCell ref="A17:A18"/>
    <mergeCell ref="H8:H9"/>
    <mergeCell ref="H10:H11"/>
    <mergeCell ref="H12:H13"/>
    <mergeCell ref="H14:H15"/>
    <mergeCell ref="H17:H18"/>
    <mergeCell ref="D17:D18"/>
    <mergeCell ref="E17:E18"/>
    <mergeCell ref="F17:F18"/>
    <mergeCell ref="G17:G18"/>
    <mergeCell ref="C17:C18"/>
    <mergeCell ref="D12:D13"/>
    <mergeCell ref="E12:E13"/>
    <mergeCell ref="F12:F13"/>
    <mergeCell ref="G12:G13"/>
    <mergeCell ref="D14:D15"/>
    <mergeCell ref="F14:F15"/>
    <mergeCell ref="G14:G15"/>
    <mergeCell ref="I19:K19"/>
    <mergeCell ref="D6:D7"/>
    <mergeCell ref="E6:E7"/>
    <mergeCell ref="F6:F7"/>
    <mergeCell ref="G6:G7"/>
    <mergeCell ref="D8:D9"/>
    <mergeCell ref="E8:E9"/>
    <mergeCell ref="F8:F9"/>
    <mergeCell ref="G8:G9"/>
    <mergeCell ref="H6:H7"/>
    <mergeCell ref="A14:A15"/>
    <mergeCell ref="A12:A13"/>
    <mergeCell ref="D10:D11"/>
    <mergeCell ref="E10:E11"/>
    <mergeCell ref="A10:A11"/>
    <mergeCell ref="E14:E15"/>
    <mergeCell ref="C10:C11"/>
    <mergeCell ref="C12:C13"/>
    <mergeCell ref="C14:C15"/>
    <mergeCell ref="A8:A9"/>
    <mergeCell ref="F10:F11"/>
    <mergeCell ref="G10:G11"/>
    <mergeCell ref="A6:A7"/>
    <mergeCell ref="A1:M1"/>
    <mergeCell ref="A2:F2"/>
    <mergeCell ref="G2:M2"/>
    <mergeCell ref="A4:A5"/>
    <mergeCell ref="C4:C5"/>
    <mergeCell ref="D4:D5"/>
    <mergeCell ref="E4:E5"/>
    <mergeCell ref="F4:F5"/>
    <mergeCell ref="G4:G5"/>
    <mergeCell ref="H4:H5"/>
    <mergeCell ref="C6:C7"/>
    <mergeCell ref="C8:C9"/>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B58A-FB8C-4C21-B7C3-030D389B29D4}">
  <sheetPr>
    <outlinePr summaryBelow="0" summaryRight="0"/>
    <pageSetUpPr fitToPage="1"/>
  </sheetPr>
  <dimension ref="A1:M29"/>
  <sheetViews>
    <sheetView view="pageBreakPreview" zoomScale="40" zoomScaleNormal="40" zoomScaleSheetLayoutView="40" workbookViewId="0">
      <pane ySplit="1" topLeftCell="A2" activePane="bottomLeft" state="frozen"/>
      <selection pane="bottomLeft" activeCell="M4" sqref="M4"/>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5"/>
      <c r="M1" s="386"/>
    </row>
    <row r="2" spans="1:13" s="8" customFormat="1" ht="50.1" customHeight="1" x14ac:dyDescent="0.3">
      <c r="A2" s="384" t="s">
        <v>12</v>
      </c>
      <c r="B2" s="385"/>
      <c r="C2" s="385"/>
      <c r="D2" s="385"/>
      <c r="E2" s="385"/>
      <c r="F2" s="385"/>
      <c r="G2" s="399" t="s">
        <v>1508</v>
      </c>
      <c r="H2" s="399"/>
      <c r="I2" s="399"/>
      <c r="J2" s="399"/>
      <c r="K2" s="399"/>
      <c r="L2" s="399"/>
      <c r="M2" s="400"/>
    </row>
    <row r="3" spans="1:13" s="10" customFormat="1" ht="49.8"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60" customHeight="1" x14ac:dyDescent="0.25">
      <c r="A4" s="405">
        <v>1</v>
      </c>
      <c r="B4" s="14"/>
      <c r="C4" s="412">
        <v>45870</v>
      </c>
      <c r="D4" s="414">
        <v>2025090200001</v>
      </c>
      <c r="E4" s="416" t="s">
        <v>44</v>
      </c>
      <c r="F4" s="407" t="s">
        <v>1492</v>
      </c>
      <c r="G4" s="407" t="s">
        <v>1493</v>
      </c>
      <c r="H4" s="412">
        <v>45870</v>
      </c>
      <c r="I4" s="80" t="s">
        <v>598</v>
      </c>
      <c r="J4" s="39" t="s">
        <v>1407</v>
      </c>
      <c r="K4" s="39">
        <v>1</v>
      </c>
      <c r="L4" s="55">
        <v>12037</v>
      </c>
      <c r="M4" s="41">
        <f t="shared" ref="M4:M12" si="0">K4*L4</f>
        <v>12037</v>
      </c>
    </row>
    <row r="5" spans="1:13" s="10" customFormat="1" ht="60" customHeight="1" x14ac:dyDescent="0.25">
      <c r="A5" s="411"/>
      <c r="B5" s="14"/>
      <c r="C5" s="413"/>
      <c r="D5" s="415"/>
      <c r="E5" s="417"/>
      <c r="F5" s="408"/>
      <c r="G5" s="408"/>
      <c r="H5" s="413"/>
      <c r="I5" s="80" t="s">
        <v>599</v>
      </c>
      <c r="J5" s="39" t="s">
        <v>1047</v>
      </c>
      <c r="K5" s="39">
        <v>1</v>
      </c>
      <c r="L5" s="55">
        <v>917</v>
      </c>
      <c r="M5" s="41">
        <f t="shared" si="0"/>
        <v>917</v>
      </c>
    </row>
    <row r="6" spans="1:13" s="10" customFormat="1" ht="60" customHeight="1" x14ac:dyDescent="0.25">
      <c r="A6" s="405">
        <v>2</v>
      </c>
      <c r="B6" s="14"/>
      <c r="C6" s="412">
        <v>45870</v>
      </c>
      <c r="D6" s="414">
        <v>2025090200002</v>
      </c>
      <c r="E6" s="416" t="s">
        <v>44</v>
      </c>
      <c r="F6" s="407" t="s">
        <v>1494</v>
      </c>
      <c r="G6" s="407" t="s">
        <v>1495</v>
      </c>
      <c r="H6" s="412">
        <v>45870</v>
      </c>
      <c r="I6" s="80" t="s">
        <v>598</v>
      </c>
      <c r="J6" s="39" t="s">
        <v>1407</v>
      </c>
      <c r="K6" s="39">
        <v>1</v>
      </c>
      <c r="L6" s="55">
        <v>12037</v>
      </c>
      <c r="M6" s="41">
        <f t="shared" si="0"/>
        <v>12037</v>
      </c>
    </row>
    <row r="7" spans="1:13" s="10" customFormat="1" ht="60" customHeight="1" x14ac:dyDescent="0.25">
      <c r="A7" s="411"/>
      <c r="B7" s="14"/>
      <c r="C7" s="413"/>
      <c r="D7" s="415"/>
      <c r="E7" s="417"/>
      <c r="F7" s="408"/>
      <c r="G7" s="408"/>
      <c r="H7" s="413"/>
      <c r="I7" s="80" t="s">
        <v>599</v>
      </c>
      <c r="J7" s="39" t="s">
        <v>1047</v>
      </c>
      <c r="K7" s="39">
        <v>1</v>
      </c>
      <c r="L7" s="55">
        <v>917</v>
      </c>
      <c r="M7" s="41">
        <f t="shared" si="0"/>
        <v>917</v>
      </c>
    </row>
    <row r="8" spans="1:13" s="10" customFormat="1" ht="60" customHeight="1" x14ac:dyDescent="0.25">
      <c r="A8" s="405">
        <v>3</v>
      </c>
      <c r="B8" s="14"/>
      <c r="C8" s="412">
        <v>45870</v>
      </c>
      <c r="D8" s="414">
        <v>2025090200003</v>
      </c>
      <c r="E8" s="420" t="s">
        <v>44</v>
      </c>
      <c r="F8" s="423" t="s">
        <v>1496</v>
      </c>
      <c r="G8" s="423" t="s">
        <v>1497</v>
      </c>
      <c r="H8" s="412">
        <v>45870</v>
      </c>
      <c r="I8" s="80" t="s">
        <v>598</v>
      </c>
      <c r="J8" s="39" t="s">
        <v>1407</v>
      </c>
      <c r="K8" s="39">
        <v>1</v>
      </c>
      <c r="L8" s="55">
        <v>12037</v>
      </c>
      <c r="M8" s="41">
        <f t="shared" si="0"/>
        <v>12037</v>
      </c>
    </row>
    <row r="9" spans="1:13" s="10" customFormat="1" ht="60" customHeight="1" x14ac:dyDescent="0.25">
      <c r="A9" s="406"/>
      <c r="B9" s="14"/>
      <c r="C9" s="418"/>
      <c r="D9" s="419"/>
      <c r="E9" s="421"/>
      <c r="F9" s="424"/>
      <c r="G9" s="424"/>
      <c r="H9" s="418"/>
      <c r="I9" s="80" t="s">
        <v>599</v>
      </c>
      <c r="J9" s="39" t="s">
        <v>1047</v>
      </c>
      <c r="K9" s="39">
        <v>1</v>
      </c>
      <c r="L9" s="55">
        <v>917</v>
      </c>
      <c r="M9" s="41">
        <f t="shared" si="0"/>
        <v>917</v>
      </c>
    </row>
    <row r="10" spans="1:13" s="10" customFormat="1" ht="60" customHeight="1" x14ac:dyDescent="0.25">
      <c r="A10" s="411"/>
      <c r="B10" s="14"/>
      <c r="C10" s="413"/>
      <c r="D10" s="415"/>
      <c r="E10" s="422"/>
      <c r="F10" s="425"/>
      <c r="G10" s="425"/>
      <c r="H10" s="413"/>
      <c r="I10" s="80" t="s">
        <v>1469</v>
      </c>
      <c r="J10" s="39" t="s">
        <v>639</v>
      </c>
      <c r="K10" s="39">
        <v>1</v>
      </c>
      <c r="L10" s="368">
        <v>366</v>
      </c>
      <c r="M10" s="41">
        <f t="shared" si="0"/>
        <v>366</v>
      </c>
    </row>
    <row r="11" spans="1:13" s="10" customFormat="1" ht="60" customHeight="1" x14ac:dyDescent="0.25">
      <c r="A11" s="405">
        <v>4</v>
      </c>
      <c r="B11" s="14"/>
      <c r="C11" s="412">
        <v>45870</v>
      </c>
      <c r="D11" s="414">
        <v>2025090300005</v>
      </c>
      <c r="E11" s="416" t="s">
        <v>44</v>
      </c>
      <c r="F11" s="407" t="s">
        <v>1498</v>
      </c>
      <c r="G11" s="407" t="s">
        <v>1499</v>
      </c>
      <c r="H11" s="412">
        <v>45870</v>
      </c>
      <c r="I11" s="80" t="s">
        <v>598</v>
      </c>
      <c r="J11" s="39" t="s">
        <v>1407</v>
      </c>
      <c r="K11" s="39">
        <v>1</v>
      </c>
      <c r="L11" s="55">
        <v>12037</v>
      </c>
      <c r="M11" s="41">
        <f t="shared" si="0"/>
        <v>12037</v>
      </c>
    </row>
    <row r="12" spans="1:13" s="10" customFormat="1" ht="60" customHeight="1" x14ac:dyDescent="0.25">
      <c r="A12" s="411"/>
      <c r="B12" s="14"/>
      <c r="C12" s="413"/>
      <c r="D12" s="415"/>
      <c r="E12" s="417"/>
      <c r="F12" s="408"/>
      <c r="G12" s="408"/>
      <c r="H12" s="413"/>
      <c r="I12" s="80" t="s">
        <v>599</v>
      </c>
      <c r="J12" s="39" t="s">
        <v>1047</v>
      </c>
      <c r="K12" s="39">
        <v>1</v>
      </c>
      <c r="L12" s="55">
        <v>917</v>
      </c>
      <c r="M12" s="41">
        <f t="shared" si="0"/>
        <v>917</v>
      </c>
    </row>
    <row r="13" spans="1:13" s="10" customFormat="1" ht="60" customHeight="1" x14ac:dyDescent="0.25">
      <c r="A13" s="405">
        <v>5</v>
      </c>
      <c r="B13" s="14"/>
      <c r="C13" s="412">
        <v>45889</v>
      </c>
      <c r="D13" s="414">
        <v>2025090100008</v>
      </c>
      <c r="E13" s="420" t="s">
        <v>44</v>
      </c>
      <c r="F13" s="423" t="s">
        <v>1500</v>
      </c>
      <c r="G13" s="423" t="s">
        <v>1501</v>
      </c>
      <c r="H13" s="412">
        <v>45891</v>
      </c>
      <c r="I13" s="80" t="s">
        <v>617</v>
      </c>
      <c r="J13" s="39" t="s">
        <v>1266</v>
      </c>
      <c r="K13" s="39">
        <v>25</v>
      </c>
      <c r="L13" s="55">
        <v>70</v>
      </c>
      <c r="M13" s="41">
        <f t="shared" ref="M13:M15" si="1">K13*L13</f>
        <v>1750</v>
      </c>
    </row>
    <row r="14" spans="1:13" s="10" customFormat="1" ht="60" customHeight="1" x14ac:dyDescent="0.25">
      <c r="A14" s="406"/>
      <c r="B14" s="14"/>
      <c r="C14" s="418"/>
      <c r="D14" s="419"/>
      <c r="E14" s="421"/>
      <c r="F14" s="424"/>
      <c r="G14" s="424"/>
      <c r="H14" s="418"/>
      <c r="I14" s="80" t="s">
        <v>619</v>
      </c>
      <c r="J14" s="39" t="s">
        <v>1266</v>
      </c>
      <c r="K14" s="39">
        <v>7</v>
      </c>
      <c r="L14" s="55">
        <v>63</v>
      </c>
      <c r="M14" s="41">
        <f t="shared" si="1"/>
        <v>441</v>
      </c>
    </row>
    <row r="15" spans="1:13" s="10" customFormat="1" ht="60" customHeight="1" x14ac:dyDescent="0.25">
      <c r="A15" s="411"/>
      <c r="B15" s="14"/>
      <c r="C15" s="413"/>
      <c r="D15" s="415"/>
      <c r="E15" s="422"/>
      <c r="F15" s="425"/>
      <c r="G15" s="425"/>
      <c r="H15" s="413"/>
      <c r="I15" s="80" t="s">
        <v>1337</v>
      </c>
      <c r="J15" s="39" t="s">
        <v>1415</v>
      </c>
      <c r="K15" s="39">
        <v>7</v>
      </c>
      <c r="L15" s="55">
        <v>530</v>
      </c>
      <c r="M15" s="41">
        <f t="shared" si="1"/>
        <v>3710</v>
      </c>
    </row>
    <row r="16" spans="1:13" s="10" customFormat="1" ht="60" customHeight="1" x14ac:dyDescent="0.25">
      <c r="A16" s="405">
        <v>6</v>
      </c>
      <c r="B16" s="14"/>
      <c r="C16" s="412">
        <v>45894</v>
      </c>
      <c r="D16" s="414">
        <v>2025090100001</v>
      </c>
      <c r="E16" s="416" t="s">
        <v>44</v>
      </c>
      <c r="F16" s="407" t="s">
        <v>1502</v>
      </c>
      <c r="G16" s="407" t="s">
        <v>1503</v>
      </c>
      <c r="H16" s="412">
        <v>45896</v>
      </c>
      <c r="I16" s="80" t="s">
        <v>617</v>
      </c>
      <c r="J16" s="39" t="s">
        <v>1266</v>
      </c>
      <c r="K16" s="39" t="s">
        <v>1506</v>
      </c>
      <c r="L16" s="55">
        <v>70</v>
      </c>
      <c r="M16" s="41">
        <f t="shared" ref="M16:M17" si="2">K16*L16</f>
        <v>5670</v>
      </c>
    </row>
    <row r="17" spans="1:13" s="10" customFormat="1" ht="60" customHeight="1" x14ac:dyDescent="0.25">
      <c r="A17" s="411"/>
      <c r="B17" s="14"/>
      <c r="C17" s="413"/>
      <c r="D17" s="415"/>
      <c r="E17" s="417"/>
      <c r="F17" s="408"/>
      <c r="G17" s="408"/>
      <c r="H17" s="413"/>
      <c r="I17" s="80" t="s">
        <v>619</v>
      </c>
      <c r="J17" s="39" t="s">
        <v>1266</v>
      </c>
      <c r="K17" s="39" t="s">
        <v>1482</v>
      </c>
      <c r="L17" s="55">
        <v>63</v>
      </c>
      <c r="M17" s="41">
        <f t="shared" si="2"/>
        <v>315</v>
      </c>
    </row>
    <row r="18" spans="1:13" s="10" customFormat="1" ht="100.05" customHeight="1" x14ac:dyDescent="0.25">
      <c r="A18" s="19">
        <v>7</v>
      </c>
      <c r="B18" s="14"/>
      <c r="C18" s="113">
        <v>45896</v>
      </c>
      <c r="D18" s="151">
        <v>2025090100009</v>
      </c>
      <c r="E18" s="150" t="s">
        <v>44</v>
      </c>
      <c r="F18" s="81" t="s">
        <v>1504</v>
      </c>
      <c r="G18" s="81" t="s">
        <v>1505</v>
      </c>
      <c r="H18" s="113">
        <v>45898</v>
      </c>
      <c r="I18" s="80" t="s">
        <v>617</v>
      </c>
      <c r="J18" s="39" t="s">
        <v>1266</v>
      </c>
      <c r="K18" s="39" t="s">
        <v>1507</v>
      </c>
      <c r="L18" s="55">
        <v>70</v>
      </c>
      <c r="M18" s="41">
        <f t="shared" ref="M18" si="3">K18*L18</f>
        <v>7280</v>
      </c>
    </row>
    <row r="19" spans="1:13" s="10" customFormat="1" ht="64.95" customHeight="1" thickBot="1" x14ac:dyDescent="0.3">
      <c r="A19" s="341"/>
      <c r="B19" s="335"/>
      <c r="C19" s="335"/>
      <c r="D19" s="335"/>
      <c r="E19" s="335"/>
      <c r="F19" s="335"/>
      <c r="G19" s="335"/>
      <c r="H19" s="336"/>
      <c r="I19" s="402" t="s">
        <v>805</v>
      </c>
      <c r="J19" s="403"/>
      <c r="K19" s="404"/>
      <c r="L19" s="365"/>
      <c r="M19" s="285">
        <f>SUM(M4:M18)</f>
        <v>71348</v>
      </c>
    </row>
    <row r="20" spans="1:13" ht="26.4" customHeight="1" x14ac:dyDescent="0.25"/>
    <row r="25" spans="1:13" ht="15.75" customHeight="1" x14ac:dyDescent="0.25">
      <c r="F25" s="366" t="s">
        <v>172</v>
      </c>
      <c r="G25" s="358" t="s">
        <v>172</v>
      </c>
    </row>
    <row r="29" spans="1:13" ht="15.75" customHeight="1" x14ac:dyDescent="0.25">
      <c r="G29" s="358" t="s">
        <v>172</v>
      </c>
    </row>
  </sheetData>
  <autoFilter ref="A3:M19" xr:uid="{00000000-0009-0000-0000-000000000000}"/>
  <mergeCells count="46">
    <mergeCell ref="A1:M1"/>
    <mergeCell ref="A2:F2"/>
    <mergeCell ref="G2:M2"/>
    <mergeCell ref="H6:H7"/>
    <mergeCell ref="I19:K19"/>
    <mergeCell ref="A4:A5"/>
    <mergeCell ref="C4:C5"/>
    <mergeCell ref="D4:D5"/>
    <mergeCell ref="E4:E5"/>
    <mergeCell ref="F4:F5"/>
    <mergeCell ref="G4:G5"/>
    <mergeCell ref="H4:H5"/>
    <mergeCell ref="A6:A7"/>
    <mergeCell ref="C6:C7"/>
    <mergeCell ref="D6:D7"/>
    <mergeCell ref="E6:E7"/>
    <mergeCell ref="F6:F7"/>
    <mergeCell ref="G6:G7"/>
    <mergeCell ref="D8:D10"/>
    <mergeCell ref="E8:E10"/>
    <mergeCell ref="F8:F10"/>
    <mergeCell ref="G8:G10"/>
    <mergeCell ref="G13:G15"/>
    <mergeCell ref="H13:H15"/>
    <mergeCell ref="A11:A12"/>
    <mergeCell ref="C11:C12"/>
    <mergeCell ref="D11:D12"/>
    <mergeCell ref="E11:E12"/>
    <mergeCell ref="F11:F12"/>
    <mergeCell ref="G11:G12"/>
    <mergeCell ref="C8:C10"/>
    <mergeCell ref="H16:H17"/>
    <mergeCell ref="A16:A17"/>
    <mergeCell ref="C16:C17"/>
    <mergeCell ref="D16:D17"/>
    <mergeCell ref="E16:E17"/>
    <mergeCell ref="F16:F17"/>
    <mergeCell ref="G16:G17"/>
    <mergeCell ref="H8:H10"/>
    <mergeCell ref="H11:H12"/>
    <mergeCell ref="A8:A10"/>
    <mergeCell ref="A13:A15"/>
    <mergeCell ref="C13:C15"/>
    <mergeCell ref="D13:D15"/>
    <mergeCell ref="E13:E15"/>
    <mergeCell ref="F13:F15"/>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00E82-14D5-4692-B609-FF5886F610D0}">
  <sheetPr>
    <outlinePr summaryBelow="0" summaryRight="0"/>
    <pageSetUpPr fitToPage="1"/>
  </sheetPr>
  <dimension ref="A1:M22"/>
  <sheetViews>
    <sheetView view="pageBreakPreview" zoomScale="40" zoomScaleNormal="40" zoomScaleSheetLayoutView="40" workbookViewId="0">
      <pane ySplit="1" topLeftCell="A2" activePane="bottomLeft" state="frozen"/>
      <selection pane="bottomLeft" activeCell="H7" sqref="H7:H10"/>
    </sheetView>
  </sheetViews>
  <sheetFormatPr defaultColWidth="14.44140625" defaultRowHeight="15.75" customHeight="1" x14ac:dyDescent="0.25"/>
  <cols>
    <col min="1" max="1" width="8.33203125" style="1"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17.6640625" style="1" hidden="1" customWidth="1"/>
    <col min="13" max="13"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5"/>
      <c r="M1" s="386"/>
    </row>
    <row r="2" spans="1:13" s="8" customFormat="1" ht="50.1" customHeight="1" x14ac:dyDescent="0.3">
      <c r="A2" s="384" t="s">
        <v>12</v>
      </c>
      <c r="B2" s="385"/>
      <c r="C2" s="385"/>
      <c r="D2" s="385"/>
      <c r="E2" s="385"/>
      <c r="F2" s="385"/>
      <c r="G2" s="399" t="s">
        <v>1483</v>
      </c>
      <c r="H2" s="399"/>
      <c r="I2" s="399"/>
      <c r="J2" s="399"/>
      <c r="K2" s="399"/>
      <c r="L2" s="399"/>
      <c r="M2" s="400"/>
    </row>
    <row r="3" spans="1:13" s="10" customFormat="1" ht="50.1" customHeight="1" x14ac:dyDescent="0.25">
      <c r="A3" s="17" t="s">
        <v>23</v>
      </c>
      <c r="B3" s="14" t="s">
        <v>653</v>
      </c>
      <c r="C3" s="15" t="s">
        <v>224</v>
      </c>
      <c r="D3" s="16" t="s">
        <v>22</v>
      </c>
      <c r="E3" s="14" t="s">
        <v>0</v>
      </c>
      <c r="F3" s="14" t="s">
        <v>2</v>
      </c>
      <c r="G3" s="14" t="s">
        <v>19</v>
      </c>
      <c r="H3" s="15" t="s">
        <v>1</v>
      </c>
      <c r="I3" s="15" t="s">
        <v>15</v>
      </c>
      <c r="J3" s="15" t="s">
        <v>592</v>
      </c>
      <c r="K3" s="15" t="s">
        <v>591</v>
      </c>
      <c r="L3" s="15"/>
      <c r="M3" s="18" t="s">
        <v>804</v>
      </c>
    </row>
    <row r="4" spans="1:13" s="10" customFormat="1" ht="60" customHeight="1" x14ac:dyDescent="0.25">
      <c r="A4" s="392">
        <v>1</v>
      </c>
      <c r="B4" s="14"/>
      <c r="C4" s="426">
        <v>45839</v>
      </c>
      <c r="D4" s="427">
        <v>2025072400006</v>
      </c>
      <c r="E4" s="428" t="s">
        <v>44</v>
      </c>
      <c r="F4" s="429" t="s">
        <v>1065</v>
      </c>
      <c r="G4" s="401" t="s">
        <v>1484</v>
      </c>
      <c r="H4" s="426">
        <v>45840</v>
      </c>
      <c r="I4" s="80" t="s">
        <v>598</v>
      </c>
      <c r="J4" s="39" t="s">
        <v>1407</v>
      </c>
      <c r="K4" s="39">
        <v>1</v>
      </c>
      <c r="L4" s="55">
        <v>12037</v>
      </c>
      <c r="M4" s="41">
        <f>K4*L4</f>
        <v>12037</v>
      </c>
    </row>
    <row r="5" spans="1:13" s="10" customFormat="1" ht="60" customHeight="1" x14ac:dyDescent="0.25">
      <c r="A5" s="392"/>
      <c r="B5" s="14"/>
      <c r="C5" s="426"/>
      <c r="D5" s="427"/>
      <c r="E5" s="428"/>
      <c r="F5" s="429"/>
      <c r="G5" s="401"/>
      <c r="H5" s="426"/>
      <c r="I5" s="80" t="s">
        <v>599</v>
      </c>
      <c r="J5" s="39" t="s">
        <v>1047</v>
      </c>
      <c r="K5" s="39">
        <v>1</v>
      </c>
      <c r="L5" s="55">
        <v>917</v>
      </c>
      <c r="M5" s="41">
        <v>917</v>
      </c>
    </row>
    <row r="6" spans="1:13" s="10" customFormat="1" ht="120" customHeight="1" x14ac:dyDescent="0.25">
      <c r="A6" s="19">
        <v>2</v>
      </c>
      <c r="B6" s="14"/>
      <c r="C6" s="113">
        <v>45842</v>
      </c>
      <c r="D6" s="151">
        <v>2025071700001</v>
      </c>
      <c r="E6" s="150" t="s">
        <v>44</v>
      </c>
      <c r="F6" s="167" t="s">
        <v>54</v>
      </c>
      <c r="G6" s="167" t="s">
        <v>1485</v>
      </c>
      <c r="H6" s="113">
        <v>45845</v>
      </c>
      <c r="I6" s="80" t="s">
        <v>1489</v>
      </c>
      <c r="J6" s="39" t="s">
        <v>1047</v>
      </c>
      <c r="K6" s="39">
        <v>1</v>
      </c>
      <c r="L6" s="55">
        <v>1878</v>
      </c>
      <c r="M6" s="41">
        <f>K6*L6</f>
        <v>1878</v>
      </c>
    </row>
    <row r="7" spans="1:13" s="10" customFormat="1" ht="60" customHeight="1" x14ac:dyDescent="0.25">
      <c r="A7" s="392">
        <v>3</v>
      </c>
      <c r="B7" s="14"/>
      <c r="C7" s="382">
        <v>45847</v>
      </c>
      <c r="D7" s="380">
        <v>2025072400009</v>
      </c>
      <c r="E7" s="430" t="s">
        <v>44</v>
      </c>
      <c r="F7" s="431" t="s">
        <v>1486</v>
      </c>
      <c r="G7" s="431" t="s">
        <v>1487</v>
      </c>
      <c r="H7" s="382">
        <v>45849</v>
      </c>
      <c r="I7" s="80" t="s">
        <v>598</v>
      </c>
      <c r="J7" s="39" t="s">
        <v>1407</v>
      </c>
      <c r="K7" s="39">
        <v>1</v>
      </c>
      <c r="L7" s="55">
        <v>12037</v>
      </c>
      <c r="M7" s="41">
        <f>K7*L7</f>
        <v>12037</v>
      </c>
    </row>
    <row r="8" spans="1:13" s="10" customFormat="1" ht="60" customHeight="1" x14ac:dyDescent="0.25">
      <c r="A8" s="392"/>
      <c r="B8" s="14"/>
      <c r="C8" s="382"/>
      <c r="D8" s="380"/>
      <c r="E8" s="430"/>
      <c r="F8" s="431"/>
      <c r="G8" s="431"/>
      <c r="H8" s="382"/>
      <c r="I8" s="80" t="s">
        <v>599</v>
      </c>
      <c r="J8" s="39" t="s">
        <v>1047</v>
      </c>
      <c r="K8" s="39">
        <v>1</v>
      </c>
      <c r="L8" s="55">
        <v>917</v>
      </c>
      <c r="M8" s="41">
        <f>K8*L8</f>
        <v>917</v>
      </c>
    </row>
    <row r="9" spans="1:13" s="10" customFormat="1" ht="60" customHeight="1" x14ac:dyDescent="0.25">
      <c r="A9" s="392"/>
      <c r="B9" s="14"/>
      <c r="C9" s="382"/>
      <c r="D9" s="380"/>
      <c r="E9" s="430"/>
      <c r="F9" s="431"/>
      <c r="G9" s="431"/>
      <c r="H9" s="382"/>
      <c r="I9" s="80" t="s">
        <v>1181</v>
      </c>
      <c r="J9" s="39" t="s">
        <v>637</v>
      </c>
      <c r="K9" s="39">
        <v>1</v>
      </c>
      <c r="L9" s="55">
        <v>565</v>
      </c>
      <c r="M9" s="41">
        <f>K9*L9</f>
        <v>565</v>
      </c>
    </row>
    <row r="10" spans="1:13" s="10" customFormat="1" ht="60" customHeight="1" x14ac:dyDescent="0.25">
      <c r="A10" s="392"/>
      <c r="B10" s="14"/>
      <c r="C10" s="382"/>
      <c r="D10" s="380"/>
      <c r="E10" s="430"/>
      <c r="F10" s="431"/>
      <c r="G10" s="431"/>
      <c r="H10" s="382"/>
      <c r="I10" s="80" t="s">
        <v>1490</v>
      </c>
      <c r="J10" s="39" t="s">
        <v>637</v>
      </c>
      <c r="K10" s="39">
        <v>1</v>
      </c>
      <c r="L10" s="55">
        <v>254</v>
      </c>
      <c r="M10" s="41">
        <f>K10*L10</f>
        <v>254</v>
      </c>
    </row>
    <row r="11" spans="1:13" s="10" customFormat="1" ht="150" customHeight="1" x14ac:dyDescent="0.25">
      <c r="A11" s="19">
        <v>4</v>
      </c>
      <c r="B11" s="14"/>
      <c r="C11" s="113">
        <v>45860</v>
      </c>
      <c r="D11" s="151">
        <v>2025072300006</v>
      </c>
      <c r="E11" s="150" t="s">
        <v>553</v>
      </c>
      <c r="F11" s="167" t="s">
        <v>894</v>
      </c>
      <c r="G11" s="167" t="s">
        <v>1488</v>
      </c>
      <c r="H11" s="113">
        <v>45861</v>
      </c>
      <c r="I11" s="80" t="s">
        <v>1491</v>
      </c>
      <c r="J11" s="39" t="s">
        <v>637</v>
      </c>
      <c r="K11" s="39">
        <v>4</v>
      </c>
      <c r="L11" s="55">
        <v>1218</v>
      </c>
      <c r="M11" s="41">
        <v>4872</v>
      </c>
    </row>
    <row r="12" spans="1:13" s="10" customFormat="1" ht="100.05" customHeight="1" thickBot="1" x14ac:dyDescent="0.3">
      <c r="A12" s="341"/>
      <c r="B12" s="335"/>
      <c r="C12" s="335"/>
      <c r="D12" s="335"/>
      <c r="E12" s="335"/>
      <c r="F12" s="335"/>
      <c r="G12" s="335"/>
      <c r="H12" s="336"/>
      <c r="I12" s="402" t="s">
        <v>805</v>
      </c>
      <c r="J12" s="403"/>
      <c r="K12" s="404"/>
      <c r="L12" s="365"/>
      <c r="M12" s="285">
        <f>SUM(M4:M11)</f>
        <v>33477</v>
      </c>
    </row>
    <row r="13" spans="1:13" ht="26.4" customHeight="1" x14ac:dyDescent="0.25"/>
    <row r="18" spans="6:7" ht="15.75" customHeight="1" x14ac:dyDescent="0.25">
      <c r="F18" s="366" t="s">
        <v>172</v>
      </c>
      <c r="G18" s="358" t="s">
        <v>172</v>
      </c>
    </row>
    <row r="22" spans="6:7" ht="15.75" customHeight="1" x14ac:dyDescent="0.25">
      <c r="G22" s="358" t="s">
        <v>172</v>
      </c>
    </row>
  </sheetData>
  <autoFilter ref="A3:M12" xr:uid="{00000000-0009-0000-0000-000000000000}"/>
  <mergeCells count="18">
    <mergeCell ref="A1:M1"/>
    <mergeCell ref="A2:F2"/>
    <mergeCell ref="G2:M2"/>
    <mergeCell ref="H7:H10"/>
    <mergeCell ref="A4:A5"/>
    <mergeCell ref="A7:A10"/>
    <mergeCell ref="I12:K12"/>
    <mergeCell ref="C4:C5"/>
    <mergeCell ref="D4:D5"/>
    <mergeCell ref="E4:E5"/>
    <mergeCell ref="F4:F5"/>
    <mergeCell ref="G4:G5"/>
    <mergeCell ref="H4:H5"/>
    <mergeCell ref="C7:C10"/>
    <mergeCell ref="D7:D10"/>
    <mergeCell ref="E7:E10"/>
    <mergeCell ref="F7:F10"/>
    <mergeCell ref="G7:G10"/>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9301E-7A79-4FE0-940E-3903A37208A8}">
  <sheetPr>
    <outlinePr summaryBelow="0" summaryRight="0"/>
    <pageSetUpPr fitToPage="1"/>
  </sheetPr>
  <dimension ref="A1:M29"/>
  <sheetViews>
    <sheetView view="pageBreakPreview" zoomScale="40" zoomScaleNormal="40" zoomScaleSheetLayoutView="40" workbookViewId="0">
      <pane ySplit="1" topLeftCell="A2" activePane="bottomLeft" state="frozen"/>
      <selection pane="bottomLeft" activeCell="L4" sqref="L4"/>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6"/>
    </row>
    <row r="2" spans="1:13" s="8" customFormat="1" ht="50.1" customHeight="1" x14ac:dyDescent="0.3">
      <c r="A2" s="384" t="s">
        <v>12</v>
      </c>
      <c r="B2" s="385"/>
      <c r="C2" s="385"/>
      <c r="D2" s="385"/>
      <c r="E2" s="385"/>
      <c r="F2" s="385"/>
      <c r="G2" s="399" t="s">
        <v>1463</v>
      </c>
      <c r="H2" s="399"/>
      <c r="I2" s="399"/>
      <c r="J2" s="399"/>
      <c r="K2" s="399"/>
      <c r="L2" s="400"/>
    </row>
    <row r="3" spans="1:13" s="10" customFormat="1" ht="50.1" customHeight="1" thickBot="1" x14ac:dyDescent="0.3">
      <c r="A3" s="17" t="s">
        <v>23</v>
      </c>
      <c r="B3" s="14" t="s">
        <v>653</v>
      </c>
      <c r="C3" s="136" t="s">
        <v>224</v>
      </c>
      <c r="D3" s="137" t="s">
        <v>22</v>
      </c>
      <c r="E3" s="138" t="s">
        <v>0</v>
      </c>
      <c r="F3" s="138" t="s">
        <v>2</v>
      </c>
      <c r="G3" s="138" t="s">
        <v>19</v>
      </c>
      <c r="H3" s="136" t="s">
        <v>1</v>
      </c>
      <c r="I3" s="136" t="s">
        <v>15</v>
      </c>
      <c r="J3" s="136" t="s">
        <v>592</v>
      </c>
      <c r="K3" s="136" t="s">
        <v>591</v>
      </c>
      <c r="L3" s="139" t="s">
        <v>804</v>
      </c>
    </row>
    <row r="4" spans="1:13" s="10" customFormat="1" ht="49.95" customHeight="1" x14ac:dyDescent="0.25">
      <c r="A4" s="436">
        <v>1</v>
      </c>
      <c r="B4" s="361"/>
      <c r="C4" s="444">
        <v>45828</v>
      </c>
      <c r="D4" s="447">
        <v>2025062400003</v>
      </c>
      <c r="E4" s="449" t="s">
        <v>25</v>
      </c>
      <c r="F4" s="439" t="s">
        <v>1004</v>
      </c>
      <c r="G4" s="439" t="s">
        <v>1464</v>
      </c>
      <c r="H4" s="434">
        <v>45831</v>
      </c>
      <c r="I4" s="362" t="s">
        <v>617</v>
      </c>
      <c r="J4" s="101" t="s">
        <v>1266</v>
      </c>
      <c r="K4" s="101" t="s">
        <v>1475</v>
      </c>
      <c r="L4" s="108">
        <f>K4*M4</f>
        <v>5950</v>
      </c>
      <c r="M4" s="359" t="s">
        <v>1471</v>
      </c>
    </row>
    <row r="5" spans="1:13" s="10" customFormat="1" ht="49.95" customHeight="1" x14ac:dyDescent="0.25">
      <c r="A5" s="437"/>
      <c r="B5" s="361"/>
      <c r="C5" s="445"/>
      <c r="D5" s="380"/>
      <c r="E5" s="379"/>
      <c r="F5" s="378"/>
      <c r="G5" s="378"/>
      <c r="H5" s="382"/>
      <c r="I5" s="80" t="s">
        <v>619</v>
      </c>
      <c r="J5" s="39" t="s">
        <v>1266</v>
      </c>
      <c r="K5" s="39" t="s">
        <v>253</v>
      </c>
      <c r="L5" s="41">
        <f t="shared" ref="L5:L17" si="0">K5*M5</f>
        <v>126</v>
      </c>
      <c r="M5" s="359" t="s">
        <v>1472</v>
      </c>
    </row>
    <row r="6" spans="1:13" s="10" customFormat="1" ht="49.95" customHeight="1" x14ac:dyDescent="0.25">
      <c r="A6" s="437"/>
      <c r="B6" s="361"/>
      <c r="C6" s="445"/>
      <c r="D6" s="380"/>
      <c r="E6" s="379"/>
      <c r="F6" s="378"/>
      <c r="G6" s="378"/>
      <c r="H6" s="382"/>
      <c r="I6" s="80" t="s">
        <v>1470</v>
      </c>
      <c r="J6" s="360" t="s">
        <v>621</v>
      </c>
      <c r="K6" s="39" t="s">
        <v>596</v>
      </c>
      <c r="L6" s="41">
        <f t="shared" si="0"/>
        <v>241</v>
      </c>
      <c r="M6" s="359" t="s">
        <v>1473</v>
      </c>
    </row>
    <row r="7" spans="1:13" s="10" customFormat="1" ht="49.95" customHeight="1" thickBot="1" x14ac:dyDescent="0.3">
      <c r="A7" s="438"/>
      <c r="B7" s="361"/>
      <c r="C7" s="446"/>
      <c r="D7" s="448"/>
      <c r="E7" s="450"/>
      <c r="F7" s="440"/>
      <c r="G7" s="440"/>
      <c r="H7" s="435"/>
      <c r="I7" s="363" t="s">
        <v>725</v>
      </c>
      <c r="J7" s="44" t="s">
        <v>726</v>
      </c>
      <c r="K7" s="44" t="s">
        <v>596</v>
      </c>
      <c r="L7" s="45">
        <f t="shared" si="0"/>
        <v>3178</v>
      </c>
      <c r="M7" s="359" t="s">
        <v>1474</v>
      </c>
    </row>
    <row r="8" spans="1:13" s="10" customFormat="1" ht="49.95" customHeight="1" x14ac:dyDescent="0.25">
      <c r="A8" s="441">
        <v>2</v>
      </c>
      <c r="B8" s="361"/>
      <c r="C8" s="444">
        <v>45826</v>
      </c>
      <c r="D8" s="447">
        <v>2025062400005</v>
      </c>
      <c r="E8" s="449" t="s">
        <v>25</v>
      </c>
      <c r="F8" s="439" t="s">
        <v>1465</v>
      </c>
      <c r="G8" s="439" t="s">
        <v>1466</v>
      </c>
      <c r="H8" s="434">
        <v>45828</v>
      </c>
      <c r="I8" s="362" t="s">
        <v>617</v>
      </c>
      <c r="J8" s="101" t="s">
        <v>1266</v>
      </c>
      <c r="K8" s="101" t="s">
        <v>1475</v>
      </c>
      <c r="L8" s="108">
        <f t="shared" si="0"/>
        <v>5950</v>
      </c>
      <c r="M8" s="359" t="s">
        <v>1471</v>
      </c>
    </row>
    <row r="9" spans="1:13" s="10" customFormat="1" ht="49.95" customHeight="1" x14ac:dyDescent="0.25">
      <c r="A9" s="442"/>
      <c r="B9" s="361"/>
      <c r="C9" s="445"/>
      <c r="D9" s="380"/>
      <c r="E9" s="379"/>
      <c r="F9" s="378"/>
      <c r="G9" s="378"/>
      <c r="H9" s="382"/>
      <c r="I9" s="80" t="s">
        <v>619</v>
      </c>
      <c r="J9" s="39" t="s">
        <v>1266</v>
      </c>
      <c r="K9" s="39" t="s">
        <v>253</v>
      </c>
      <c r="L9" s="41">
        <f t="shared" si="0"/>
        <v>126</v>
      </c>
      <c r="M9" s="359" t="s">
        <v>1472</v>
      </c>
    </row>
    <row r="10" spans="1:13" s="10" customFormat="1" ht="49.95" customHeight="1" x14ac:dyDescent="0.25">
      <c r="A10" s="442"/>
      <c r="B10" s="361"/>
      <c r="C10" s="445"/>
      <c r="D10" s="380"/>
      <c r="E10" s="379"/>
      <c r="F10" s="378"/>
      <c r="G10" s="378"/>
      <c r="H10" s="382"/>
      <c r="I10" s="80" t="s">
        <v>1469</v>
      </c>
      <c r="J10" s="360" t="s">
        <v>604</v>
      </c>
      <c r="K10" s="39" t="s">
        <v>596</v>
      </c>
      <c r="L10" s="41">
        <f t="shared" si="0"/>
        <v>366</v>
      </c>
      <c r="M10" s="359" t="s">
        <v>1476</v>
      </c>
    </row>
    <row r="11" spans="1:13" s="10" customFormat="1" ht="49.95" customHeight="1" thickBot="1" x14ac:dyDescent="0.3">
      <c r="A11" s="443"/>
      <c r="B11" s="361"/>
      <c r="C11" s="446"/>
      <c r="D11" s="448"/>
      <c r="E11" s="450"/>
      <c r="F11" s="440"/>
      <c r="G11" s="440"/>
      <c r="H11" s="435"/>
      <c r="I11" s="363" t="s">
        <v>725</v>
      </c>
      <c r="J11" s="44" t="s">
        <v>726</v>
      </c>
      <c r="K11" s="44" t="s">
        <v>596</v>
      </c>
      <c r="L11" s="45">
        <f t="shared" si="0"/>
        <v>3178</v>
      </c>
      <c r="M11" s="359" t="s">
        <v>1474</v>
      </c>
    </row>
    <row r="12" spans="1:13" s="10" customFormat="1" ht="49.95" customHeight="1" x14ac:dyDescent="0.25">
      <c r="A12" s="436">
        <v>3</v>
      </c>
      <c r="B12" s="361"/>
      <c r="C12" s="444">
        <v>45826</v>
      </c>
      <c r="D12" s="447">
        <v>2025062400008</v>
      </c>
      <c r="E12" s="449" t="s">
        <v>25</v>
      </c>
      <c r="F12" s="432" t="s">
        <v>1467</v>
      </c>
      <c r="G12" s="432" t="s">
        <v>1468</v>
      </c>
      <c r="H12" s="434">
        <v>45828</v>
      </c>
      <c r="I12" s="362" t="s">
        <v>617</v>
      </c>
      <c r="J12" s="101" t="s">
        <v>1266</v>
      </c>
      <c r="K12" s="101" t="s">
        <v>1477</v>
      </c>
      <c r="L12" s="108">
        <f t="shared" si="0"/>
        <v>8400</v>
      </c>
      <c r="M12" s="359" t="s">
        <v>1471</v>
      </c>
    </row>
    <row r="13" spans="1:13" s="10" customFormat="1" ht="49.95" customHeight="1" x14ac:dyDescent="0.25">
      <c r="A13" s="437"/>
      <c r="B13" s="361"/>
      <c r="C13" s="445"/>
      <c r="D13" s="380"/>
      <c r="E13" s="379"/>
      <c r="F13" s="383"/>
      <c r="G13" s="383"/>
      <c r="H13" s="382"/>
      <c r="I13" s="80" t="s">
        <v>839</v>
      </c>
      <c r="J13" s="39" t="s">
        <v>595</v>
      </c>
      <c r="K13" s="39" t="s">
        <v>253</v>
      </c>
      <c r="L13" s="41">
        <f t="shared" si="0"/>
        <v>578</v>
      </c>
      <c r="M13" s="69" t="s">
        <v>1478</v>
      </c>
    </row>
    <row r="14" spans="1:13" s="10" customFormat="1" ht="49.95" customHeight="1" x14ac:dyDescent="0.25">
      <c r="A14" s="437"/>
      <c r="B14" s="361"/>
      <c r="C14" s="445"/>
      <c r="D14" s="380"/>
      <c r="E14" s="379"/>
      <c r="F14" s="383"/>
      <c r="G14" s="383"/>
      <c r="H14" s="382"/>
      <c r="I14" s="80" t="s">
        <v>1337</v>
      </c>
      <c r="J14" s="39" t="s">
        <v>614</v>
      </c>
      <c r="K14" s="39" t="s">
        <v>1482</v>
      </c>
      <c r="L14" s="41">
        <f t="shared" si="0"/>
        <v>2650</v>
      </c>
      <c r="M14" s="69" t="s">
        <v>1479</v>
      </c>
    </row>
    <row r="15" spans="1:13" s="10" customFormat="1" ht="49.95" customHeight="1" x14ac:dyDescent="0.25">
      <c r="A15" s="437"/>
      <c r="B15" s="361"/>
      <c r="C15" s="445"/>
      <c r="D15" s="380"/>
      <c r="E15" s="379"/>
      <c r="F15" s="383"/>
      <c r="G15" s="383"/>
      <c r="H15" s="382"/>
      <c r="I15" s="80" t="s">
        <v>1191</v>
      </c>
      <c r="J15" s="39" t="s">
        <v>621</v>
      </c>
      <c r="K15" s="39" t="s">
        <v>596</v>
      </c>
      <c r="L15" s="41">
        <f t="shared" si="0"/>
        <v>689</v>
      </c>
      <c r="M15" s="69" t="s">
        <v>1480</v>
      </c>
    </row>
    <row r="16" spans="1:13" s="10" customFormat="1" ht="49.95" customHeight="1" x14ac:dyDescent="0.25">
      <c r="A16" s="437"/>
      <c r="B16" s="361"/>
      <c r="C16" s="445"/>
      <c r="D16" s="380"/>
      <c r="E16" s="379"/>
      <c r="F16" s="383"/>
      <c r="G16" s="383"/>
      <c r="H16" s="382"/>
      <c r="I16" s="80" t="s">
        <v>1244</v>
      </c>
      <c r="J16" s="39" t="s">
        <v>600</v>
      </c>
      <c r="K16" s="39" t="s">
        <v>596</v>
      </c>
      <c r="L16" s="41">
        <f t="shared" si="0"/>
        <v>476</v>
      </c>
      <c r="M16" s="69" t="s">
        <v>1481</v>
      </c>
    </row>
    <row r="17" spans="1:13" s="10" customFormat="1" ht="49.95" customHeight="1" x14ac:dyDescent="0.25">
      <c r="A17" s="437"/>
      <c r="B17" s="361"/>
      <c r="C17" s="445"/>
      <c r="D17" s="380"/>
      <c r="E17" s="379"/>
      <c r="F17" s="383"/>
      <c r="G17" s="383"/>
      <c r="H17" s="382"/>
      <c r="I17" s="80" t="s">
        <v>1470</v>
      </c>
      <c r="J17" s="39" t="s">
        <v>621</v>
      </c>
      <c r="K17" s="39" t="s">
        <v>596</v>
      </c>
      <c r="L17" s="41">
        <f t="shared" si="0"/>
        <v>241</v>
      </c>
      <c r="M17" s="69" t="s">
        <v>1473</v>
      </c>
    </row>
    <row r="18" spans="1:13" s="10" customFormat="1" ht="49.95" customHeight="1" thickBot="1" x14ac:dyDescent="0.3">
      <c r="A18" s="438"/>
      <c r="B18" s="364"/>
      <c r="C18" s="446"/>
      <c r="D18" s="448"/>
      <c r="E18" s="450"/>
      <c r="F18" s="433"/>
      <c r="G18" s="433"/>
      <c r="H18" s="435"/>
      <c r="I18" s="363" t="s">
        <v>725</v>
      </c>
      <c r="J18" s="44" t="s">
        <v>726</v>
      </c>
      <c r="K18" s="44" t="s">
        <v>596</v>
      </c>
      <c r="L18" s="45">
        <f t="shared" ref="L18" si="1">K18*M18</f>
        <v>3178</v>
      </c>
      <c r="M18" s="359" t="s">
        <v>1474</v>
      </c>
    </row>
    <row r="19" spans="1:13" s="10" customFormat="1" ht="100.05" customHeight="1" thickBot="1" x14ac:dyDescent="0.3">
      <c r="A19" s="341"/>
      <c r="B19" s="335"/>
      <c r="C19" s="335"/>
      <c r="D19" s="335"/>
      <c r="E19" s="335"/>
      <c r="F19" s="335"/>
      <c r="G19" s="335"/>
      <c r="H19" s="336"/>
      <c r="I19" s="402" t="s">
        <v>805</v>
      </c>
      <c r="J19" s="403"/>
      <c r="K19" s="404"/>
      <c r="L19" s="285">
        <f>SUM(L4:L18)</f>
        <v>35327</v>
      </c>
    </row>
    <row r="20" spans="1:13" ht="26.4" customHeight="1" x14ac:dyDescent="0.25"/>
    <row r="29" spans="1:13" ht="15.75" customHeight="1" x14ac:dyDescent="0.25">
      <c r="G29" s="358" t="s">
        <v>172</v>
      </c>
    </row>
  </sheetData>
  <autoFilter ref="A3:L19" xr:uid="{00000000-0009-0000-0000-000000000000}"/>
  <mergeCells count="25">
    <mergeCell ref="A1:L1"/>
    <mergeCell ref="A2:F2"/>
    <mergeCell ref="G2:L2"/>
    <mergeCell ref="I19:K19"/>
    <mergeCell ref="C4:C7"/>
    <mergeCell ref="D4:D7"/>
    <mergeCell ref="E4:E7"/>
    <mergeCell ref="F4:F7"/>
    <mergeCell ref="G4:G7"/>
    <mergeCell ref="H4:H7"/>
    <mergeCell ref="A4:A7"/>
    <mergeCell ref="C8:C11"/>
    <mergeCell ref="D8:D11"/>
    <mergeCell ref="E8:E11"/>
    <mergeCell ref="F8:F11"/>
    <mergeCell ref="H8:H11"/>
    <mergeCell ref="G12:G18"/>
    <mergeCell ref="H12:H18"/>
    <mergeCell ref="A12:A18"/>
    <mergeCell ref="G8:G11"/>
    <mergeCell ref="A8:A11"/>
    <mergeCell ref="C12:C18"/>
    <mergeCell ref="D12:D18"/>
    <mergeCell ref="E12:E18"/>
    <mergeCell ref="F12:F18"/>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E883-3048-4B0D-8D64-1C92F4720B20}">
  <sheetPr>
    <outlinePr summaryBelow="0" summaryRight="0"/>
    <pageSetUpPr fitToPage="1"/>
  </sheetPr>
  <dimension ref="A1:M15"/>
  <sheetViews>
    <sheetView view="pageBreakPreview" zoomScale="40" zoomScaleNormal="40" zoomScaleSheetLayoutView="40" workbookViewId="0">
      <pane ySplit="1" topLeftCell="A2" activePane="bottomLeft" state="frozen"/>
      <selection pane="bottomLeft" activeCell="G5" sqref="G5"/>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6"/>
    </row>
    <row r="2" spans="1:13" s="8" customFormat="1" ht="50.1" customHeight="1" x14ac:dyDescent="0.3">
      <c r="A2" s="384" t="s">
        <v>12</v>
      </c>
      <c r="B2" s="385"/>
      <c r="C2" s="385"/>
      <c r="D2" s="385"/>
      <c r="E2" s="385"/>
      <c r="F2" s="385"/>
      <c r="G2" s="399" t="s">
        <v>1460</v>
      </c>
      <c r="H2" s="399"/>
      <c r="I2" s="399"/>
      <c r="J2" s="399"/>
      <c r="K2" s="399"/>
      <c r="L2" s="400"/>
    </row>
    <row r="3" spans="1:13" s="10" customFormat="1" ht="50.1" customHeight="1" x14ac:dyDescent="0.25">
      <c r="A3" s="17" t="s">
        <v>23</v>
      </c>
      <c r="B3" s="14" t="s">
        <v>653</v>
      </c>
      <c r="C3" s="15" t="s">
        <v>224</v>
      </c>
      <c r="D3" s="16" t="s">
        <v>22</v>
      </c>
      <c r="E3" s="14" t="s">
        <v>0</v>
      </c>
      <c r="F3" s="14" t="s">
        <v>2</v>
      </c>
      <c r="G3" s="14" t="s">
        <v>19</v>
      </c>
      <c r="H3" s="15" t="s">
        <v>1</v>
      </c>
      <c r="I3" s="15" t="s">
        <v>15</v>
      </c>
      <c r="J3" s="15" t="s">
        <v>592</v>
      </c>
      <c r="K3" s="15" t="s">
        <v>591</v>
      </c>
      <c r="L3" s="18" t="s">
        <v>804</v>
      </c>
    </row>
    <row r="4" spans="1:13" s="10" customFormat="1" ht="134.4" customHeight="1" x14ac:dyDescent="0.25">
      <c r="A4" s="337">
        <v>1</v>
      </c>
      <c r="B4" s="356"/>
      <c r="C4" s="113">
        <v>45789</v>
      </c>
      <c r="D4" s="151">
        <v>2025051400002</v>
      </c>
      <c r="E4" s="150" t="s">
        <v>25</v>
      </c>
      <c r="F4" s="81" t="s">
        <v>1461</v>
      </c>
      <c r="G4" s="81" t="s">
        <v>1462</v>
      </c>
      <c r="H4" s="113">
        <v>45790</v>
      </c>
      <c r="I4" s="84" t="s">
        <v>1454</v>
      </c>
      <c r="J4" s="39" t="s">
        <v>621</v>
      </c>
      <c r="K4" s="21">
        <v>1</v>
      </c>
      <c r="L4" s="41">
        <v>1445</v>
      </c>
      <c r="M4"/>
    </row>
    <row r="5" spans="1:13" s="10" customFormat="1" ht="100.05" customHeight="1" thickBot="1" x14ac:dyDescent="0.3">
      <c r="A5" s="341"/>
      <c r="B5" s="335"/>
      <c r="C5" s="335"/>
      <c r="D5" s="335"/>
      <c r="E5" s="335"/>
      <c r="F5" s="335"/>
      <c r="G5" s="335"/>
      <c r="H5" s="336"/>
      <c r="I5" s="402" t="s">
        <v>805</v>
      </c>
      <c r="J5" s="403"/>
      <c r="K5" s="404"/>
      <c r="L5" s="285">
        <f>SUM(L4:L4)</f>
        <v>1445</v>
      </c>
    </row>
    <row r="6" spans="1:13" ht="26.4" customHeight="1" x14ac:dyDescent="0.25"/>
    <row r="15" spans="1:13" ht="15.75" customHeight="1" x14ac:dyDescent="0.25">
      <c r="G15" s="358" t="s">
        <v>172</v>
      </c>
    </row>
  </sheetData>
  <autoFilter ref="A3:L5" xr:uid="{00000000-0009-0000-0000-000000000000}"/>
  <mergeCells count="4">
    <mergeCell ref="I5:K5"/>
    <mergeCell ref="A1:L1"/>
    <mergeCell ref="A2:F2"/>
    <mergeCell ref="G2:L2"/>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A695-707A-4DF8-8364-BEF45A3B1CE6}">
  <sheetPr>
    <outlinePr summaryBelow="0" summaryRight="0"/>
    <pageSetUpPr fitToPage="1"/>
  </sheetPr>
  <dimension ref="A1:M26"/>
  <sheetViews>
    <sheetView view="pageBreakPreview" zoomScale="40" zoomScaleNormal="40" zoomScaleSheetLayoutView="40" workbookViewId="0">
      <pane ySplit="1" topLeftCell="A2" activePane="bottomLeft" state="frozen"/>
      <selection pane="bottomLeft" activeCell="J4" sqref="J4"/>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3" ht="50.1" customHeight="1" thickBot="1" x14ac:dyDescent="0.3">
      <c r="A1" s="384" t="s">
        <v>1197</v>
      </c>
      <c r="B1" s="385"/>
      <c r="C1" s="385"/>
      <c r="D1" s="385"/>
      <c r="E1" s="385"/>
      <c r="F1" s="385"/>
      <c r="G1" s="385"/>
      <c r="H1" s="385"/>
      <c r="I1" s="385"/>
      <c r="J1" s="385"/>
      <c r="K1" s="385"/>
      <c r="L1" s="386"/>
    </row>
    <row r="2" spans="1:13" s="8" customFormat="1" ht="50.1" customHeight="1" x14ac:dyDescent="0.3">
      <c r="A2" s="384" t="s">
        <v>12</v>
      </c>
      <c r="B2" s="385"/>
      <c r="C2" s="385"/>
      <c r="D2" s="385"/>
      <c r="E2" s="385"/>
      <c r="F2" s="385"/>
      <c r="G2" s="399" t="s">
        <v>1446</v>
      </c>
      <c r="H2" s="399"/>
      <c r="I2" s="399"/>
      <c r="J2" s="399"/>
      <c r="K2" s="399"/>
      <c r="L2" s="400"/>
    </row>
    <row r="3" spans="1:13" s="10" customFormat="1" ht="50.1" customHeight="1" x14ac:dyDescent="0.25">
      <c r="A3" s="17" t="s">
        <v>23</v>
      </c>
      <c r="B3" s="14" t="s">
        <v>653</v>
      </c>
      <c r="C3" s="15" t="s">
        <v>224</v>
      </c>
      <c r="D3" s="16" t="s">
        <v>22</v>
      </c>
      <c r="E3" s="14" t="s">
        <v>0</v>
      </c>
      <c r="F3" s="14" t="s">
        <v>2</v>
      </c>
      <c r="G3" s="14" t="s">
        <v>19</v>
      </c>
      <c r="H3" s="15" t="s">
        <v>1</v>
      </c>
      <c r="I3" s="15" t="s">
        <v>15</v>
      </c>
      <c r="J3" s="15" t="s">
        <v>592</v>
      </c>
      <c r="K3" s="15" t="s">
        <v>591</v>
      </c>
      <c r="L3" s="18" t="s">
        <v>804</v>
      </c>
    </row>
    <row r="4" spans="1:13" s="10" customFormat="1" ht="50.1" customHeight="1" x14ac:dyDescent="0.25">
      <c r="A4" s="453">
        <v>1</v>
      </c>
      <c r="B4" s="14"/>
      <c r="C4" s="426">
        <v>45762</v>
      </c>
      <c r="D4" s="380">
        <v>2025041800001</v>
      </c>
      <c r="E4" s="379" t="s">
        <v>25</v>
      </c>
      <c r="F4" s="383" t="s">
        <v>1447</v>
      </c>
      <c r="G4" s="383" t="s">
        <v>1448</v>
      </c>
      <c r="H4" s="426">
        <v>45764</v>
      </c>
      <c r="I4" s="84" t="s">
        <v>617</v>
      </c>
      <c r="J4" s="39" t="s">
        <v>1266</v>
      </c>
      <c r="K4" s="21">
        <v>80</v>
      </c>
      <c r="L4" s="41">
        <f>K4*M4</f>
        <v>5600</v>
      </c>
      <c r="M4" t="s">
        <v>1455</v>
      </c>
    </row>
    <row r="5" spans="1:13" s="10" customFormat="1" ht="50.1" customHeight="1" x14ac:dyDescent="0.25">
      <c r="A5" s="453"/>
      <c r="B5" s="14"/>
      <c r="C5" s="426"/>
      <c r="D5" s="380"/>
      <c r="E5" s="379"/>
      <c r="F5" s="383"/>
      <c r="G5" s="383"/>
      <c r="H5" s="426"/>
      <c r="I5" s="84" t="s">
        <v>619</v>
      </c>
      <c r="J5" s="39" t="s">
        <v>1266</v>
      </c>
      <c r="K5" s="21">
        <v>3</v>
      </c>
      <c r="L5" s="41">
        <f t="shared" ref="L5:L11" si="0">K5*M5</f>
        <v>189</v>
      </c>
      <c r="M5" t="s">
        <v>1456</v>
      </c>
    </row>
    <row r="6" spans="1:13" s="10" customFormat="1" ht="50.1" customHeight="1" x14ac:dyDescent="0.25">
      <c r="A6" s="453"/>
      <c r="B6" s="14"/>
      <c r="C6" s="426"/>
      <c r="D6" s="380"/>
      <c r="E6" s="379"/>
      <c r="F6" s="383"/>
      <c r="G6" s="383"/>
      <c r="H6" s="426"/>
      <c r="I6" s="84" t="s">
        <v>633</v>
      </c>
      <c r="J6" s="39" t="s">
        <v>637</v>
      </c>
      <c r="K6" s="21">
        <v>1</v>
      </c>
      <c r="L6" s="41">
        <f t="shared" si="0"/>
        <v>2119</v>
      </c>
      <c r="M6" t="s">
        <v>1451</v>
      </c>
    </row>
    <row r="7" spans="1:13" s="10" customFormat="1" ht="50.1" customHeight="1" x14ac:dyDescent="0.25">
      <c r="A7" s="453"/>
      <c r="B7" s="14"/>
      <c r="C7" s="426"/>
      <c r="D7" s="380"/>
      <c r="E7" s="379"/>
      <c r="F7" s="383"/>
      <c r="G7" s="383"/>
      <c r="H7" s="426"/>
      <c r="I7" s="84" t="s">
        <v>598</v>
      </c>
      <c r="J7" s="39" t="s">
        <v>1407</v>
      </c>
      <c r="K7" s="21">
        <v>1</v>
      </c>
      <c r="L7" s="41">
        <f t="shared" si="0"/>
        <v>12037</v>
      </c>
      <c r="M7" t="s">
        <v>1457</v>
      </c>
    </row>
    <row r="8" spans="1:13" s="10" customFormat="1" ht="50.1" customHeight="1" x14ac:dyDescent="0.25">
      <c r="A8" s="453"/>
      <c r="B8" s="14"/>
      <c r="C8" s="426"/>
      <c r="D8" s="380"/>
      <c r="E8" s="379"/>
      <c r="F8" s="383"/>
      <c r="G8" s="383"/>
      <c r="H8" s="426"/>
      <c r="I8" s="84" t="s">
        <v>599</v>
      </c>
      <c r="J8" s="39" t="s">
        <v>1047</v>
      </c>
      <c r="K8" s="21">
        <v>1</v>
      </c>
      <c r="L8" s="41">
        <f t="shared" si="0"/>
        <v>917</v>
      </c>
      <c r="M8" t="s">
        <v>1458</v>
      </c>
    </row>
    <row r="9" spans="1:13" s="10" customFormat="1" ht="50.1" customHeight="1" x14ac:dyDescent="0.25">
      <c r="A9" s="453"/>
      <c r="B9" s="14"/>
      <c r="C9" s="426"/>
      <c r="D9" s="380"/>
      <c r="E9" s="379"/>
      <c r="F9" s="383"/>
      <c r="G9" s="383"/>
      <c r="H9" s="426"/>
      <c r="I9" s="84" t="s">
        <v>1337</v>
      </c>
      <c r="J9" s="39" t="s">
        <v>1415</v>
      </c>
      <c r="K9" s="21">
        <v>5</v>
      </c>
      <c r="L9" s="41">
        <f t="shared" si="0"/>
        <v>2650</v>
      </c>
      <c r="M9" t="s">
        <v>1459</v>
      </c>
    </row>
    <row r="10" spans="1:13" s="10" customFormat="1" ht="50.1" customHeight="1" x14ac:dyDescent="0.25">
      <c r="A10" s="453"/>
      <c r="B10" s="14"/>
      <c r="C10" s="426"/>
      <c r="D10" s="380"/>
      <c r="E10" s="379"/>
      <c r="F10" s="383"/>
      <c r="G10" s="383"/>
      <c r="H10" s="426"/>
      <c r="I10" s="84" t="s">
        <v>1454</v>
      </c>
      <c r="J10" s="39" t="s">
        <v>941</v>
      </c>
      <c r="K10" s="21">
        <v>1</v>
      </c>
      <c r="L10" s="41">
        <f t="shared" si="0"/>
        <v>1445</v>
      </c>
      <c r="M10" t="s">
        <v>1452</v>
      </c>
    </row>
    <row r="11" spans="1:13" s="10" customFormat="1" ht="49.95" customHeight="1" x14ac:dyDescent="0.25">
      <c r="A11" s="453"/>
      <c r="B11" s="451">
        <v>1</v>
      </c>
      <c r="C11" s="426"/>
      <c r="D11" s="380"/>
      <c r="E11" s="379"/>
      <c r="F11" s="383"/>
      <c r="G11" s="383"/>
      <c r="H11" s="426"/>
      <c r="I11" s="84" t="s">
        <v>725</v>
      </c>
      <c r="J11" s="39" t="s">
        <v>1371</v>
      </c>
      <c r="K11" s="21">
        <v>1</v>
      </c>
      <c r="L11" s="41">
        <f t="shared" si="0"/>
        <v>3178</v>
      </c>
      <c r="M11" t="s">
        <v>1453</v>
      </c>
    </row>
    <row r="12" spans="1:13" s="10" customFormat="1" ht="60" customHeight="1" x14ac:dyDescent="0.25">
      <c r="A12" s="452">
        <v>2</v>
      </c>
      <c r="B12" s="451"/>
      <c r="C12" s="426">
        <v>45765</v>
      </c>
      <c r="D12" s="380">
        <v>2025042100002</v>
      </c>
      <c r="E12" s="379" t="s">
        <v>25</v>
      </c>
      <c r="F12" s="383" t="s">
        <v>1449</v>
      </c>
      <c r="G12" s="383" t="s">
        <v>1450</v>
      </c>
      <c r="H12" s="426">
        <v>45768</v>
      </c>
      <c r="I12" s="84" t="s">
        <v>617</v>
      </c>
      <c r="J12" s="39" t="s">
        <v>1266</v>
      </c>
      <c r="K12" s="21">
        <v>85</v>
      </c>
      <c r="L12" s="41">
        <f>K12*M12</f>
        <v>5950</v>
      </c>
      <c r="M12" t="s">
        <v>1455</v>
      </c>
    </row>
    <row r="13" spans="1:13" s="10" customFormat="1" ht="60" customHeight="1" x14ac:dyDescent="0.25">
      <c r="A13" s="452"/>
      <c r="B13" s="451"/>
      <c r="C13" s="426"/>
      <c r="D13" s="380"/>
      <c r="E13" s="379"/>
      <c r="F13" s="383"/>
      <c r="G13" s="383"/>
      <c r="H13" s="426"/>
      <c r="I13" s="84" t="s">
        <v>619</v>
      </c>
      <c r="J13" s="39" t="s">
        <v>1266</v>
      </c>
      <c r="K13" s="21">
        <v>3</v>
      </c>
      <c r="L13" s="41">
        <f t="shared" ref="L13:L15" si="1">K13*M13</f>
        <v>189</v>
      </c>
      <c r="M13" t="s">
        <v>1456</v>
      </c>
    </row>
    <row r="14" spans="1:13" s="10" customFormat="1" ht="60" customHeight="1" x14ac:dyDescent="0.25">
      <c r="A14" s="452"/>
      <c r="B14" s="451"/>
      <c r="C14" s="426"/>
      <c r="D14" s="380"/>
      <c r="E14" s="379"/>
      <c r="F14" s="383"/>
      <c r="G14" s="383"/>
      <c r="H14" s="426"/>
      <c r="I14" s="84" t="s">
        <v>598</v>
      </c>
      <c r="J14" s="39" t="s">
        <v>1407</v>
      </c>
      <c r="K14" s="21">
        <v>1</v>
      </c>
      <c r="L14" s="41">
        <f t="shared" si="1"/>
        <v>12037</v>
      </c>
      <c r="M14" t="s">
        <v>1457</v>
      </c>
    </row>
    <row r="15" spans="1:13" s="10" customFormat="1" ht="60" customHeight="1" x14ac:dyDescent="0.25">
      <c r="A15" s="452"/>
      <c r="B15" s="451"/>
      <c r="C15" s="426"/>
      <c r="D15" s="380"/>
      <c r="E15" s="379"/>
      <c r="F15" s="383"/>
      <c r="G15" s="383"/>
      <c r="H15" s="426"/>
      <c r="I15" s="84" t="s">
        <v>599</v>
      </c>
      <c r="J15" s="39" t="s">
        <v>1047</v>
      </c>
      <c r="K15" s="21">
        <v>1</v>
      </c>
      <c r="L15" s="41">
        <f t="shared" si="1"/>
        <v>917</v>
      </c>
      <c r="M15" t="s">
        <v>1458</v>
      </c>
    </row>
    <row r="16" spans="1:13" s="10" customFormat="1" ht="100.05" customHeight="1" thickBot="1" x14ac:dyDescent="0.3">
      <c r="A16" s="341"/>
      <c r="B16" s="335"/>
      <c r="C16" s="335"/>
      <c r="D16" s="335"/>
      <c r="E16" s="335"/>
      <c r="F16" s="335"/>
      <c r="G16" s="335"/>
      <c r="H16" s="336"/>
      <c r="I16" s="402" t="s">
        <v>805</v>
      </c>
      <c r="J16" s="403"/>
      <c r="K16" s="404"/>
      <c r="L16" s="285">
        <f>SUM(L4:L15)</f>
        <v>47228</v>
      </c>
    </row>
    <row r="17" spans="7:7" ht="26.4" customHeight="1" x14ac:dyDescent="0.25"/>
    <row r="26" spans="7:7" ht="15.75" customHeight="1" x14ac:dyDescent="0.25">
      <c r="G26" s="358" t="s">
        <v>172</v>
      </c>
    </row>
  </sheetData>
  <autoFilter ref="A3:L16" xr:uid="{00000000-0009-0000-0000-000000000000}"/>
  <mergeCells count="19">
    <mergeCell ref="I16:K16"/>
    <mergeCell ref="A4:A11"/>
    <mergeCell ref="C4:C11"/>
    <mergeCell ref="D4:D11"/>
    <mergeCell ref="E4:E11"/>
    <mergeCell ref="F4:F11"/>
    <mergeCell ref="G4:G11"/>
    <mergeCell ref="H4:H11"/>
    <mergeCell ref="D12:D15"/>
    <mergeCell ref="E12:E15"/>
    <mergeCell ref="H12:H15"/>
    <mergeCell ref="A1:L1"/>
    <mergeCell ref="A2:F2"/>
    <mergeCell ref="G2:L2"/>
    <mergeCell ref="B11:B15"/>
    <mergeCell ref="A12:A15"/>
    <mergeCell ref="C12:C15"/>
    <mergeCell ref="F12:F15"/>
    <mergeCell ref="G12:G15"/>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D822-133E-4CDD-BF09-28EFE5FB906C}">
  <sheetPr>
    <outlinePr summaryBelow="0" summaryRight="0"/>
    <pageSetUpPr fitToPage="1"/>
  </sheetPr>
  <dimension ref="A1:L22"/>
  <sheetViews>
    <sheetView zoomScale="40" zoomScaleNormal="40" zoomScaleSheetLayoutView="40" workbookViewId="0">
      <pane ySplit="1" topLeftCell="A4" activePane="bottomLeft" state="frozen"/>
      <selection pane="bottomLeft" activeCell="L5" sqref="C5:L6"/>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1197</v>
      </c>
      <c r="B1" s="385"/>
      <c r="C1" s="385"/>
      <c r="D1" s="385"/>
      <c r="E1" s="385"/>
      <c r="F1" s="385"/>
      <c r="G1" s="385"/>
      <c r="H1" s="385"/>
      <c r="I1" s="385"/>
      <c r="J1" s="385"/>
      <c r="K1" s="385"/>
      <c r="L1" s="386"/>
    </row>
    <row r="2" spans="1:12" s="8" customFormat="1" ht="50.1" customHeight="1" x14ac:dyDescent="0.3">
      <c r="A2" s="384" t="s">
        <v>12</v>
      </c>
      <c r="B2" s="385"/>
      <c r="C2" s="385"/>
      <c r="D2" s="385"/>
      <c r="E2" s="385"/>
      <c r="F2" s="385"/>
      <c r="G2" s="399" t="s">
        <v>1435</v>
      </c>
      <c r="H2" s="399"/>
      <c r="I2" s="399"/>
      <c r="J2" s="399"/>
      <c r="K2" s="399"/>
      <c r="L2" s="400"/>
    </row>
    <row r="3" spans="1:12" s="10" customFormat="1" ht="50.1" customHeight="1" x14ac:dyDescent="0.25">
      <c r="A3" s="17" t="s">
        <v>23</v>
      </c>
      <c r="B3" s="14" t="s">
        <v>653</v>
      </c>
      <c r="C3" s="15" t="s">
        <v>224</v>
      </c>
      <c r="D3" s="16" t="s">
        <v>22</v>
      </c>
      <c r="E3" s="14" t="s">
        <v>0</v>
      </c>
      <c r="F3" s="14" t="s">
        <v>2</v>
      </c>
      <c r="G3" s="14" t="s">
        <v>19</v>
      </c>
      <c r="H3" s="15" t="s">
        <v>1</v>
      </c>
      <c r="I3" s="15" t="s">
        <v>15</v>
      </c>
      <c r="J3" s="15" t="s">
        <v>592</v>
      </c>
      <c r="K3" s="15" t="s">
        <v>591</v>
      </c>
      <c r="L3" s="18" t="s">
        <v>804</v>
      </c>
    </row>
    <row r="4" spans="1:12" s="10" customFormat="1" ht="120" customHeight="1" x14ac:dyDescent="0.25">
      <c r="A4" s="334">
        <v>1</v>
      </c>
      <c r="B4" s="451">
        <v>1</v>
      </c>
      <c r="C4" s="354">
        <v>45713</v>
      </c>
      <c r="D4" s="148">
        <v>2025022500005</v>
      </c>
      <c r="E4" s="357" t="s">
        <v>363</v>
      </c>
      <c r="F4" s="149" t="s">
        <v>1436</v>
      </c>
      <c r="G4" s="81" t="s">
        <v>1437</v>
      </c>
      <c r="H4" s="354">
        <v>45736</v>
      </c>
      <c r="I4" s="83" t="s">
        <v>594</v>
      </c>
      <c r="J4" s="39" t="s">
        <v>1438</v>
      </c>
      <c r="K4" s="21">
        <v>2</v>
      </c>
      <c r="L4" s="41">
        <f>K4*233722</f>
        <v>467444</v>
      </c>
    </row>
    <row r="5" spans="1:12" s="10" customFormat="1" ht="60" customHeight="1" x14ac:dyDescent="0.25">
      <c r="A5" s="452">
        <v>2</v>
      </c>
      <c r="B5" s="451"/>
      <c r="C5" s="426">
        <v>45732</v>
      </c>
      <c r="D5" s="427">
        <v>2025031800003</v>
      </c>
      <c r="E5" s="428" t="s">
        <v>553</v>
      </c>
      <c r="F5" s="378" t="s">
        <v>1410</v>
      </c>
      <c r="G5" s="383" t="s">
        <v>1439</v>
      </c>
      <c r="H5" s="426">
        <v>45733</v>
      </c>
      <c r="I5" s="84" t="s">
        <v>1444</v>
      </c>
      <c r="J5" s="39" t="s">
        <v>941</v>
      </c>
      <c r="K5" s="21">
        <v>2</v>
      </c>
      <c r="L5" s="41">
        <f>K5*719</f>
        <v>1438</v>
      </c>
    </row>
    <row r="6" spans="1:12" s="10" customFormat="1" ht="60" customHeight="1" x14ac:dyDescent="0.25">
      <c r="A6" s="452"/>
      <c r="B6" s="451"/>
      <c r="C6" s="426"/>
      <c r="D6" s="427"/>
      <c r="E6" s="428"/>
      <c r="F6" s="378"/>
      <c r="G6" s="383"/>
      <c r="H6" s="426"/>
      <c r="I6" s="84" t="s">
        <v>1445</v>
      </c>
      <c r="J6" s="39" t="s">
        <v>639</v>
      </c>
      <c r="K6" s="21">
        <v>1</v>
      </c>
      <c r="L6" s="41">
        <f>K6*779</f>
        <v>779</v>
      </c>
    </row>
    <row r="7" spans="1:12" s="10" customFormat="1" ht="60" customHeight="1" x14ac:dyDescent="0.25">
      <c r="A7" s="453">
        <v>3</v>
      </c>
      <c r="B7" s="451"/>
      <c r="C7" s="426">
        <v>45732</v>
      </c>
      <c r="D7" s="427">
        <v>2025031800004</v>
      </c>
      <c r="E7" s="428" t="s">
        <v>25</v>
      </c>
      <c r="F7" s="378" t="s">
        <v>1440</v>
      </c>
      <c r="G7" s="383" t="s">
        <v>1441</v>
      </c>
      <c r="H7" s="426">
        <v>45733</v>
      </c>
      <c r="I7" s="84" t="s">
        <v>598</v>
      </c>
      <c r="J7" s="39" t="s">
        <v>1407</v>
      </c>
      <c r="K7" s="21">
        <v>1</v>
      </c>
      <c r="L7" s="41">
        <f>K7*11983</f>
        <v>11983</v>
      </c>
    </row>
    <row r="8" spans="1:12" s="10" customFormat="1" ht="60" customHeight="1" x14ac:dyDescent="0.25">
      <c r="A8" s="453"/>
      <c r="B8" s="451"/>
      <c r="C8" s="426"/>
      <c r="D8" s="427"/>
      <c r="E8" s="428"/>
      <c r="F8" s="378"/>
      <c r="G8" s="383"/>
      <c r="H8" s="426"/>
      <c r="I8" s="84" t="s">
        <v>599</v>
      </c>
      <c r="J8" s="39" t="s">
        <v>1047</v>
      </c>
      <c r="K8" s="21">
        <v>1</v>
      </c>
      <c r="L8" s="41">
        <f>K8*913</f>
        <v>913</v>
      </c>
    </row>
    <row r="9" spans="1:12" s="10" customFormat="1" ht="120" customHeight="1" x14ac:dyDescent="0.25">
      <c r="A9" s="337">
        <v>4</v>
      </c>
      <c r="B9" s="451"/>
      <c r="C9" s="354">
        <v>45736</v>
      </c>
      <c r="D9" s="148">
        <v>2025032100001</v>
      </c>
      <c r="E9" s="357" t="s">
        <v>25</v>
      </c>
      <c r="F9" s="149" t="s">
        <v>1440</v>
      </c>
      <c r="G9" s="81" t="s">
        <v>1442</v>
      </c>
      <c r="H9" s="354">
        <v>45737</v>
      </c>
      <c r="I9" s="83" t="s">
        <v>1212</v>
      </c>
      <c r="J9" s="39" t="s">
        <v>941</v>
      </c>
      <c r="K9" s="21">
        <v>1</v>
      </c>
      <c r="L9" s="41">
        <f>K9*685</f>
        <v>685</v>
      </c>
    </row>
    <row r="10" spans="1:12" s="10" customFormat="1" ht="120" customHeight="1" x14ac:dyDescent="0.25">
      <c r="A10" s="334">
        <v>5</v>
      </c>
      <c r="B10" s="451"/>
      <c r="C10" s="354">
        <v>45734</v>
      </c>
      <c r="D10" s="148">
        <v>2025031900001</v>
      </c>
      <c r="E10" s="357" t="s">
        <v>25</v>
      </c>
      <c r="F10" s="149" t="s">
        <v>1059</v>
      </c>
      <c r="G10" s="81" t="s">
        <v>1443</v>
      </c>
      <c r="H10" s="354">
        <v>45734</v>
      </c>
      <c r="I10" s="83" t="s">
        <v>1212</v>
      </c>
      <c r="J10" s="39" t="s">
        <v>941</v>
      </c>
      <c r="K10" s="21">
        <v>1</v>
      </c>
      <c r="L10" s="41">
        <f>K10*685</f>
        <v>685</v>
      </c>
    </row>
    <row r="11" spans="1:12" s="10" customFormat="1" ht="120" customHeight="1" x14ac:dyDescent="0.25">
      <c r="A11" s="337">
        <v>6</v>
      </c>
      <c r="B11" s="356"/>
      <c r="C11" s="354">
        <v>45736</v>
      </c>
      <c r="D11" s="148">
        <v>2025032100002</v>
      </c>
      <c r="E11" s="357" t="s">
        <v>25</v>
      </c>
      <c r="F11" s="149" t="s">
        <v>1157</v>
      </c>
      <c r="G11" s="81" t="s">
        <v>1442</v>
      </c>
      <c r="H11" s="354">
        <v>45737</v>
      </c>
      <c r="I11" s="83" t="s">
        <v>1212</v>
      </c>
      <c r="J11" s="39" t="s">
        <v>941</v>
      </c>
      <c r="K11" s="21">
        <v>1</v>
      </c>
      <c r="L11" s="41">
        <f>K11*685</f>
        <v>685</v>
      </c>
    </row>
    <row r="12" spans="1:12" s="10" customFormat="1" ht="100.05" customHeight="1" thickBot="1" x14ac:dyDescent="0.3">
      <c r="A12" s="341"/>
      <c r="B12" s="335"/>
      <c r="C12" s="335"/>
      <c r="D12" s="335"/>
      <c r="E12" s="335"/>
      <c r="F12" s="335"/>
      <c r="G12" s="335"/>
      <c r="H12" s="336"/>
      <c r="I12" s="402" t="s">
        <v>805</v>
      </c>
      <c r="J12" s="403"/>
      <c r="K12" s="404"/>
      <c r="L12" s="285">
        <f>SUM(L4:L11)</f>
        <v>484612</v>
      </c>
    </row>
    <row r="13" spans="1:12" ht="26.4" customHeight="1" x14ac:dyDescent="0.25"/>
    <row r="22" spans="7:7" ht="15.75" customHeight="1" x14ac:dyDescent="0.25">
      <c r="G22" s="358" t="s">
        <v>172</v>
      </c>
    </row>
  </sheetData>
  <autoFilter ref="A3:L12" xr:uid="{00000000-0009-0000-0000-000000000000}"/>
  <mergeCells count="19">
    <mergeCell ref="I12:K12"/>
    <mergeCell ref="C5:C6"/>
    <mergeCell ref="D5:D6"/>
    <mergeCell ref="E5:E6"/>
    <mergeCell ref="F5:F6"/>
    <mergeCell ref="G5:G6"/>
    <mergeCell ref="H5:H6"/>
    <mergeCell ref="G7:G8"/>
    <mergeCell ref="C7:C8"/>
    <mergeCell ref="D7:D8"/>
    <mergeCell ref="E7:E8"/>
    <mergeCell ref="F7:F8"/>
    <mergeCell ref="H7:H8"/>
    <mergeCell ref="A7:A8"/>
    <mergeCell ref="A1:L1"/>
    <mergeCell ref="A2:F2"/>
    <mergeCell ref="G2:L2"/>
    <mergeCell ref="B4:B10"/>
    <mergeCell ref="A5:A6"/>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CC2D-AF34-4331-A045-FDD3852AB1FF}">
  <sheetPr>
    <outlinePr summaryBelow="0" summaryRight="0"/>
    <pageSetUpPr fitToPage="1"/>
  </sheetPr>
  <dimension ref="A1:L10"/>
  <sheetViews>
    <sheetView view="pageBreakPreview" zoomScale="40" zoomScaleNormal="40" zoomScaleSheetLayoutView="40" workbookViewId="0">
      <pane ySplit="1" topLeftCell="A2" activePane="bottomLeft" state="frozen"/>
      <selection pane="bottomLeft" activeCell="A3" sqref="A3:L9"/>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1425</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90" customHeight="1" x14ac:dyDescent="0.25">
      <c r="A4" s="334">
        <v>1</v>
      </c>
      <c r="B4" s="461">
        <v>1</v>
      </c>
      <c r="C4" s="354">
        <v>45694</v>
      </c>
      <c r="D4" s="148">
        <v>2025020700003</v>
      </c>
      <c r="E4" s="150" t="s">
        <v>107</v>
      </c>
      <c r="F4" s="149" t="s">
        <v>1259</v>
      </c>
      <c r="G4" s="149" t="s">
        <v>1426</v>
      </c>
      <c r="H4" s="354">
        <v>45695</v>
      </c>
      <c r="I4" s="83" t="s">
        <v>1307</v>
      </c>
      <c r="J4" s="39" t="s">
        <v>600</v>
      </c>
      <c r="K4" s="21">
        <v>1</v>
      </c>
      <c r="L4" s="41">
        <v>738</v>
      </c>
    </row>
    <row r="5" spans="1:12" s="10" customFormat="1" ht="90" customHeight="1" x14ac:dyDescent="0.25">
      <c r="A5" s="337">
        <v>2</v>
      </c>
      <c r="B5" s="462"/>
      <c r="C5" s="354">
        <v>45694</v>
      </c>
      <c r="D5" s="148">
        <v>2025020700004</v>
      </c>
      <c r="E5" s="150" t="s">
        <v>107</v>
      </c>
      <c r="F5" s="149" t="s">
        <v>1427</v>
      </c>
      <c r="G5" s="149" t="s">
        <v>1428</v>
      </c>
      <c r="H5" s="354">
        <v>45695</v>
      </c>
      <c r="I5" s="83" t="s">
        <v>1272</v>
      </c>
      <c r="J5" s="39" t="s">
        <v>600</v>
      </c>
      <c r="K5" s="21">
        <v>1</v>
      </c>
      <c r="L5" s="41">
        <v>1342</v>
      </c>
    </row>
    <row r="6" spans="1:12" s="10" customFormat="1" ht="90" customHeight="1" x14ac:dyDescent="0.25">
      <c r="A6" s="334">
        <v>3</v>
      </c>
      <c r="B6" s="462"/>
      <c r="C6" s="354">
        <v>45699</v>
      </c>
      <c r="D6" s="148">
        <v>2025021400001</v>
      </c>
      <c r="E6" s="150" t="s">
        <v>454</v>
      </c>
      <c r="F6" s="149" t="s">
        <v>911</v>
      </c>
      <c r="G6" s="149" t="s">
        <v>1429</v>
      </c>
      <c r="H6" s="354">
        <v>45700</v>
      </c>
      <c r="I6" s="83" t="s">
        <v>1247</v>
      </c>
      <c r="J6" s="39" t="s">
        <v>621</v>
      </c>
      <c r="K6" s="21">
        <v>1</v>
      </c>
      <c r="L6" s="41">
        <v>240</v>
      </c>
    </row>
    <row r="7" spans="1:12" s="10" customFormat="1" ht="90" customHeight="1" x14ac:dyDescent="0.25">
      <c r="A7" s="337">
        <v>4</v>
      </c>
      <c r="B7" s="462"/>
      <c r="C7" s="354">
        <v>45699</v>
      </c>
      <c r="D7" s="148">
        <v>2025021300001</v>
      </c>
      <c r="E7" s="150" t="s">
        <v>454</v>
      </c>
      <c r="F7" s="149" t="s">
        <v>1430</v>
      </c>
      <c r="G7" s="149" t="s">
        <v>1431</v>
      </c>
      <c r="H7" s="354">
        <v>45700</v>
      </c>
      <c r="I7" s="83" t="s">
        <v>1432</v>
      </c>
      <c r="J7" s="39" t="s">
        <v>600</v>
      </c>
      <c r="K7" s="21">
        <v>1</v>
      </c>
      <c r="L7" s="41">
        <v>383</v>
      </c>
    </row>
    <row r="8" spans="1:12" s="10" customFormat="1" ht="137.55000000000001" customHeight="1" x14ac:dyDescent="0.25">
      <c r="A8" s="334">
        <v>5</v>
      </c>
      <c r="B8" s="462"/>
      <c r="C8" s="354">
        <v>45701</v>
      </c>
      <c r="D8" s="148">
        <v>2025021500003</v>
      </c>
      <c r="E8" s="150" t="s">
        <v>553</v>
      </c>
      <c r="F8" s="149" t="s">
        <v>894</v>
      </c>
      <c r="G8" s="149" t="s">
        <v>1433</v>
      </c>
      <c r="H8" s="354">
        <v>45702</v>
      </c>
      <c r="I8" s="83" t="s">
        <v>1434</v>
      </c>
      <c r="J8" s="39" t="s">
        <v>600</v>
      </c>
      <c r="K8" s="21">
        <v>3</v>
      </c>
      <c r="L8" s="41">
        <v>3306</v>
      </c>
    </row>
    <row r="9" spans="1:12" s="10" customFormat="1" ht="100.05" customHeight="1" thickBot="1" x14ac:dyDescent="0.3">
      <c r="A9" s="341"/>
      <c r="B9" s="335"/>
      <c r="C9" s="335"/>
      <c r="D9" s="335"/>
      <c r="E9" s="335"/>
      <c r="F9" s="335"/>
      <c r="G9" s="335"/>
      <c r="H9" s="336"/>
      <c r="I9" s="402" t="s">
        <v>805</v>
      </c>
      <c r="J9" s="403"/>
      <c r="K9" s="404"/>
      <c r="L9" s="285">
        <f>SUM(L4:L8)</f>
        <v>6009</v>
      </c>
    </row>
    <row r="10" spans="1:12" ht="26.4" customHeight="1" x14ac:dyDescent="0.25"/>
  </sheetData>
  <autoFilter ref="A3:L9" xr:uid="{00000000-0009-0000-0000-000000000000}"/>
  <mergeCells count="5">
    <mergeCell ref="I9:K9"/>
    <mergeCell ref="A1:L1"/>
    <mergeCell ref="A2:F2"/>
    <mergeCell ref="G2:L2"/>
    <mergeCell ref="B4:B8"/>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7540-FEB5-4725-A7E4-8420392EFB58}">
  <sheetPr>
    <outlinePr summaryBelow="0" summaryRight="0"/>
    <pageSetUpPr fitToPage="1"/>
  </sheetPr>
  <dimension ref="A1:L7"/>
  <sheetViews>
    <sheetView view="pageBreakPreview" zoomScale="40" zoomScaleNormal="40" zoomScaleSheetLayoutView="40" workbookViewId="0">
      <pane ySplit="1" topLeftCell="A2" activePane="bottomLeft" state="frozen"/>
      <selection pane="bottomLeft" activeCell="L18" sqref="L18"/>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1422</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61.05" customHeight="1" x14ac:dyDescent="0.25">
      <c r="A4" s="436">
        <v>1</v>
      </c>
      <c r="B4" s="461">
        <v>1</v>
      </c>
      <c r="C4" s="412">
        <v>45660</v>
      </c>
      <c r="D4" s="414">
        <v>2025010700001</v>
      </c>
      <c r="E4" s="463" t="s">
        <v>454</v>
      </c>
      <c r="F4" s="465" t="s">
        <v>1423</v>
      </c>
      <c r="G4" s="465" t="s">
        <v>1424</v>
      </c>
      <c r="H4" s="412">
        <v>45663</v>
      </c>
      <c r="I4" s="83" t="s">
        <v>598</v>
      </c>
      <c r="J4" s="39" t="s">
        <v>595</v>
      </c>
      <c r="K4" s="21">
        <v>1</v>
      </c>
      <c r="L4" s="41">
        <v>11983</v>
      </c>
    </row>
    <row r="5" spans="1:12" s="10" customFormat="1" ht="61.05" customHeight="1" x14ac:dyDescent="0.25">
      <c r="A5" s="438"/>
      <c r="B5" s="462"/>
      <c r="C5" s="413"/>
      <c r="D5" s="415"/>
      <c r="E5" s="464"/>
      <c r="F5" s="466"/>
      <c r="G5" s="466"/>
      <c r="H5" s="413"/>
      <c r="I5" s="83" t="s">
        <v>599</v>
      </c>
      <c r="J5" s="39" t="s">
        <v>597</v>
      </c>
      <c r="K5" s="21">
        <v>1</v>
      </c>
      <c r="L5" s="41">
        <v>913</v>
      </c>
    </row>
    <row r="6" spans="1:12" s="10" customFormat="1" ht="100.05" customHeight="1" thickBot="1" x14ac:dyDescent="0.3">
      <c r="A6" s="341"/>
      <c r="B6" s="335"/>
      <c r="C6" s="335"/>
      <c r="D6" s="335"/>
      <c r="E6" s="335"/>
      <c r="F6" s="335"/>
      <c r="G6" s="335"/>
      <c r="H6" s="336"/>
      <c r="I6" s="402" t="s">
        <v>805</v>
      </c>
      <c r="J6" s="403"/>
      <c r="K6" s="404"/>
      <c r="L6" s="285">
        <f>SUM(L4:L5)</f>
        <v>12896</v>
      </c>
    </row>
    <row r="7" spans="1:12" ht="26.4" customHeight="1" x14ac:dyDescent="0.25"/>
  </sheetData>
  <autoFilter ref="A3:L6" xr:uid="{00000000-0009-0000-0000-000000000000}"/>
  <mergeCells count="12">
    <mergeCell ref="A1:L1"/>
    <mergeCell ref="A2:F2"/>
    <mergeCell ref="G2:L2"/>
    <mergeCell ref="B4:B5"/>
    <mergeCell ref="I6:K6"/>
    <mergeCell ref="A4:A5"/>
    <mergeCell ref="C4:C5"/>
    <mergeCell ref="D4:D5"/>
    <mergeCell ref="E4:E5"/>
    <mergeCell ref="F4:F5"/>
    <mergeCell ref="G4:G5"/>
    <mergeCell ref="H4:H5"/>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6"/>
  <sheetViews>
    <sheetView view="pageBreakPreview" zoomScale="40" zoomScaleNormal="40" zoomScaleSheetLayoutView="40" workbookViewId="0">
      <pane ySplit="1" topLeftCell="A5" activePane="bottomLeft" state="frozen"/>
      <selection pane="bottomLeft" activeCell="I14" sqref="I14"/>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1404</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100.05" customHeight="1" x14ac:dyDescent="0.25">
      <c r="A4" s="334">
        <v>1</v>
      </c>
      <c r="B4" s="461">
        <v>1</v>
      </c>
      <c r="C4" s="354">
        <v>45630</v>
      </c>
      <c r="D4" s="151">
        <v>2024120900006</v>
      </c>
      <c r="E4" s="339" t="s">
        <v>553</v>
      </c>
      <c r="F4" s="81" t="s">
        <v>1405</v>
      </c>
      <c r="G4" s="167" t="s">
        <v>1406</v>
      </c>
      <c r="H4" s="354">
        <v>45632</v>
      </c>
      <c r="I4" s="83" t="s">
        <v>1181</v>
      </c>
      <c r="J4" s="39" t="s">
        <v>600</v>
      </c>
      <c r="K4" s="21">
        <v>1</v>
      </c>
      <c r="L4" s="41">
        <v>563</v>
      </c>
    </row>
    <row r="5" spans="1:12" s="10" customFormat="1" ht="100.05" customHeight="1" x14ac:dyDescent="0.25">
      <c r="A5" s="337">
        <v>2</v>
      </c>
      <c r="B5" s="462"/>
      <c r="C5" s="354">
        <v>45631</v>
      </c>
      <c r="D5" s="148">
        <v>2024120900007</v>
      </c>
      <c r="E5" s="150" t="s">
        <v>553</v>
      </c>
      <c r="F5" s="149" t="s">
        <v>1408</v>
      </c>
      <c r="G5" s="149" t="s">
        <v>1409</v>
      </c>
      <c r="H5" s="354">
        <v>45632</v>
      </c>
      <c r="I5" s="83" t="s">
        <v>1181</v>
      </c>
      <c r="J5" s="39" t="s">
        <v>600</v>
      </c>
      <c r="K5" s="21">
        <v>1</v>
      </c>
      <c r="L5" s="41">
        <v>563</v>
      </c>
    </row>
    <row r="6" spans="1:12" s="10" customFormat="1" ht="60" customHeight="1" x14ac:dyDescent="0.25">
      <c r="A6" s="453">
        <v>3</v>
      </c>
      <c r="B6" s="462"/>
      <c r="C6" s="426">
        <v>45632</v>
      </c>
      <c r="D6" s="427">
        <v>2024120900009</v>
      </c>
      <c r="E6" s="379" t="s">
        <v>553</v>
      </c>
      <c r="F6" s="378" t="s">
        <v>1410</v>
      </c>
      <c r="G6" s="378" t="s">
        <v>1411</v>
      </c>
      <c r="H6" s="426">
        <v>45635</v>
      </c>
      <c r="I6" s="83" t="s">
        <v>611</v>
      </c>
      <c r="J6" s="39" t="s">
        <v>609</v>
      </c>
      <c r="K6" s="21">
        <v>12</v>
      </c>
      <c r="L6" s="41">
        <v>456</v>
      </c>
    </row>
    <row r="7" spans="1:12" s="10" customFormat="1" ht="60" customHeight="1" x14ac:dyDescent="0.25">
      <c r="A7" s="453"/>
      <c r="B7" s="462"/>
      <c r="C7" s="426"/>
      <c r="D7" s="427"/>
      <c r="E7" s="379"/>
      <c r="F7" s="378"/>
      <c r="G7" s="378"/>
      <c r="H7" s="426"/>
      <c r="I7" s="83" t="s">
        <v>1384</v>
      </c>
      <c r="J7" s="39" t="s">
        <v>604</v>
      </c>
      <c r="K7" s="21">
        <v>4</v>
      </c>
      <c r="L7" s="41">
        <v>1728</v>
      </c>
    </row>
    <row r="8" spans="1:12" s="10" customFormat="1" ht="60" customHeight="1" x14ac:dyDescent="0.25">
      <c r="A8" s="452">
        <v>4</v>
      </c>
      <c r="B8" s="462"/>
      <c r="C8" s="467">
        <v>45632</v>
      </c>
      <c r="D8" s="471">
        <v>2024121000002</v>
      </c>
      <c r="E8" s="463" t="s">
        <v>107</v>
      </c>
      <c r="F8" s="469" t="s">
        <v>448</v>
      </c>
      <c r="G8" s="469" t="s">
        <v>1413</v>
      </c>
      <c r="H8" s="467">
        <v>45632</v>
      </c>
      <c r="I8" s="83" t="s">
        <v>1414</v>
      </c>
      <c r="J8" s="39" t="s">
        <v>941</v>
      </c>
      <c r="K8" s="21">
        <v>1</v>
      </c>
      <c r="L8" s="41">
        <v>407</v>
      </c>
    </row>
    <row r="9" spans="1:12" s="10" customFormat="1" ht="60" customHeight="1" x14ac:dyDescent="0.25">
      <c r="A9" s="452"/>
      <c r="B9" s="462"/>
      <c r="C9" s="473"/>
      <c r="D9" s="476"/>
      <c r="E9" s="475"/>
      <c r="F9" s="474"/>
      <c r="G9" s="474"/>
      <c r="H9" s="473"/>
      <c r="I9" s="83" t="s">
        <v>616</v>
      </c>
      <c r="J9" s="39" t="s">
        <v>1415</v>
      </c>
      <c r="K9" s="21">
        <v>3</v>
      </c>
      <c r="L9" s="41">
        <v>2127</v>
      </c>
    </row>
    <row r="10" spans="1:12" s="10" customFormat="1" ht="60" customHeight="1" x14ac:dyDescent="0.25">
      <c r="A10" s="452"/>
      <c r="B10" s="462"/>
      <c r="C10" s="468"/>
      <c r="D10" s="472"/>
      <c r="E10" s="464"/>
      <c r="F10" s="470"/>
      <c r="G10" s="470"/>
      <c r="H10" s="468"/>
      <c r="I10" s="83" t="s">
        <v>630</v>
      </c>
      <c r="J10" s="39" t="s">
        <v>1415</v>
      </c>
      <c r="K10" s="21">
        <v>3</v>
      </c>
      <c r="L10" s="41">
        <v>519</v>
      </c>
    </row>
    <row r="11" spans="1:12" s="10" customFormat="1" ht="60" customHeight="1" x14ac:dyDescent="0.25">
      <c r="A11" s="453">
        <v>5</v>
      </c>
      <c r="B11" s="462"/>
      <c r="C11" s="467">
        <v>45635</v>
      </c>
      <c r="D11" s="471">
        <v>2024121100001</v>
      </c>
      <c r="E11" s="463" t="s">
        <v>454</v>
      </c>
      <c r="F11" s="469" t="s">
        <v>1416</v>
      </c>
      <c r="G11" s="469" t="s">
        <v>1417</v>
      </c>
      <c r="H11" s="467">
        <v>45636</v>
      </c>
      <c r="I11" s="83" t="s">
        <v>598</v>
      </c>
      <c r="J11" s="39" t="s">
        <v>1407</v>
      </c>
      <c r="K11" s="21">
        <v>1</v>
      </c>
      <c r="L11" s="41">
        <v>11983</v>
      </c>
    </row>
    <row r="12" spans="1:12" s="10" customFormat="1" ht="60" customHeight="1" x14ac:dyDescent="0.25">
      <c r="A12" s="453"/>
      <c r="B12" s="462"/>
      <c r="C12" s="468"/>
      <c r="D12" s="472"/>
      <c r="E12" s="464"/>
      <c r="F12" s="470"/>
      <c r="G12" s="470"/>
      <c r="H12" s="468"/>
      <c r="I12" s="83" t="s">
        <v>599</v>
      </c>
      <c r="J12" s="39" t="s">
        <v>1047</v>
      </c>
      <c r="K12" s="21">
        <v>1</v>
      </c>
      <c r="L12" s="41">
        <v>913</v>
      </c>
    </row>
    <row r="13" spans="1:12" s="10" customFormat="1" ht="100.05" customHeight="1" x14ac:dyDescent="0.25">
      <c r="A13" s="337">
        <v>6</v>
      </c>
      <c r="B13" s="462"/>
      <c r="C13" s="354">
        <v>45635</v>
      </c>
      <c r="D13" s="148">
        <v>2024121100002</v>
      </c>
      <c r="E13" s="150" t="s">
        <v>107</v>
      </c>
      <c r="F13" s="149" t="s">
        <v>205</v>
      </c>
      <c r="G13" s="355" t="s">
        <v>1418</v>
      </c>
      <c r="H13" s="354">
        <v>45636</v>
      </c>
      <c r="I13" s="83" t="s">
        <v>1419</v>
      </c>
      <c r="J13" s="39" t="s">
        <v>1420</v>
      </c>
      <c r="K13" s="21">
        <v>1</v>
      </c>
      <c r="L13" s="41">
        <v>2130</v>
      </c>
    </row>
    <row r="14" spans="1:12" s="10" customFormat="1" ht="100.05" customHeight="1" x14ac:dyDescent="0.25">
      <c r="A14" s="334">
        <v>7</v>
      </c>
      <c r="B14" s="462"/>
      <c r="C14" s="113">
        <v>45637</v>
      </c>
      <c r="D14" s="151">
        <v>2024121600001</v>
      </c>
      <c r="E14" s="150" t="s">
        <v>318</v>
      </c>
      <c r="F14" s="81" t="s">
        <v>396</v>
      </c>
      <c r="G14" s="81" t="s">
        <v>1421</v>
      </c>
      <c r="H14" s="113">
        <v>45639</v>
      </c>
      <c r="I14" s="83" t="s">
        <v>611</v>
      </c>
      <c r="J14" s="39" t="s">
        <v>1412</v>
      </c>
      <c r="K14" s="21">
        <v>10</v>
      </c>
      <c r="L14" s="41">
        <v>380</v>
      </c>
    </row>
    <row r="15" spans="1:12" s="10" customFormat="1" ht="100.05" customHeight="1" thickBot="1" x14ac:dyDescent="0.3">
      <c r="A15" s="341"/>
      <c r="B15" s="335"/>
      <c r="C15" s="335"/>
      <c r="D15" s="335"/>
      <c r="E15" s="335"/>
      <c r="F15" s="335"/>
      <c r="G15" s="335"/>
      <c r="H15" s="336"/>
      <c r="I15" s="402" t="s">
        <v>805</v>
      </c>
      <c r="J15" s="403"/>
      <c r="K15" s="404"/>
      <c r="L15" s="285">
        <f>SUM(L4:L14)</f>
        <v>21769</v>
      </c>
    </row>
    <row r="16" spans="1:12" ht="26.4" customHeight="1" x14ac:dyDescent="0.25"/>
  </sheetData>
  <autoFilter ref="A3:L15" xr:uid="{00000000-0009-0000-0000-000000000000}"/>
  <mergeCells count="26">
    <mergeCell ref="E11:E12"/>
    <mergeCell ref="D11:D12"/>
    <mergeCell ref="C11:C12"/>
    <mergeCell ref="A11:A12"/>
    <mergeCell ref="H8:H10"/>
    <mergeCell ref="G8:G10"/>
    <mergeCell ref="F8:F10"/>
    <mergeCell ref="E8:E10"/>
    <mergeCell ref="D8:D10"/>
    <mergeCell ref="C8:C10"/>
    <mergeCell ref="A6:A7"/>
    <mergeCell ref="I15:K15"/>
    <mergeCell ref="D6:D7"/>
    <mergeCell ref="A1:L1"/>
    <mergeCell ref="A2:F2"/>
    <mergeCell ref="G2:L2"/>
    <mergeCell ref="B4:B14"/>
    <mergeCell ref="E6:E7"/>
    <mergeCell ref="F6:F7"/>
    <mergeCell ref="G6:G7"/>
    <mergeCell ref="H6:H7"/>
    <mergeCell ref="C6:C7"/>
    <mergeCell ref="A8:A10"/>
    <mergeCell ref="H11:H12"/>
    <mergeCell ref="G11:G12"/>
    <mergeCell ref="F11:F12"/>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12"/>
  <sheetViews>
    <sheetView view="pageBreakPreview" topLeftCell="C1" zoomScale="40" zoomScaleNormal="40" zoomScaleSheetLayoutView="40" workbookViewId="0">
      <pane ySplit="1" topLeftCell="A2" activePane="bottomLeft" state="frozen"/>
      <selection pane="bottomLeft" activeCell="H19" sqref="H19"/>
    </sheetView>
  </sheetViews>
  <sheetFormatPr defaultColWidth="14.44140625" defaultRowHeight="15.75" customHeight="1" x14ac:dyDescent="0.25"/>
  <cols>
    <col min="1" max="1" width="8.33203125" customWidth="1"/>
    <col min="2" max="2" width="8.886718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1386</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39.450000000000003" customHeight="1" x14ac:dyDescent="0.25">
      <c r="A4" s="436">
        <v>1</v>
      </c>
      <c r="B4" s="461">
        <v>1</v>
      </c>
      <c r="C4" s="467">
        <v>45566</v>
      </c>
      <c r="D4" s="471">
        <v>2024100100001</v>
      </c>
      <c r="E4" s="463" t="s">
        <v>1394</v>
      </c>
      <c r="F4" s="463" t="s">
        <v>1387</v>
      </c>
      <c r="G4" s="469" t="s">
        <v>1388</v>
      </c>
      <c r="H4" s="467">
        <v>45568</v>
      </c>
      <c r="I4" s="83" t="s">
        <v>1389</v>
      </c>
      <c r="J4" s="39" t="s">
        <v>1398</v>
      </c>
      <c r="K4" s="21">
        <v>105</v>
      </c>
      <c r="L4" s="41">
        <v>6615</v>
      </c>
    </row>
    <row r="5" spans="1:12" s="10" customFormat="1" ht="39.450000000000003" customHeight="1" x14ac:dyDescent="0.25">
      <c r="A5" s="437"/>
      <c r="B5" s="462"/>
      <c r="C5" s="473"/>
      <c r="D5" s="476"/>
      <c r="E5" s="475"/>
      <c r="F5" s="475"/>
      <c r="G5" s="474"/>
      <c r="H5" s="473"/>
      <c r="I5" s="83" t="s">
        <v>1390</v>
      </c>
      <c r="J5" s="39" t="s">
        <v>1399</v>
      </c>
      <c r="K5" s="21">
        <v>3</v>
      </c>
      <c r="L5" s="41">
        <v>189</v>
      </c>
    </row>
    <row r="6" spans="1:12" s="10" customFormat="1" ht="39.450000000000003" customHeight="1" x14ac:dyDescent="0.25">
      <c r="A6" s="437"/>
      <c r="B6" s="462"/>
      <c r="C6" s="473"/>
      <c r="D6" s="476"/>
      <c r="E6" s="475"/>
      <c r="F6" s="475"/>
      <c r="G6" s="474"/>
      <c r="H6" s="473"/>
      <c r="I6" s="83" t="s">
        <v>1391</v>
      </c>
      <c r="J6" s="39" t="s">
        <v>1400</v>
      </c>
      <c r="K6" s="21">
        <v>1</v>
      </c>
      <c r="L6" s="41">
        <v>11983</v>
      </c>
    </row>
    <row r="7" spans="1:12" s="10" customFormat="1" ht="39.450000000000003" customHeight="1" x14ac:dyDescent="0.25">
      <c r="A7" s="437"/>
      <c r="B7" s="462"/>
      <c r="C7" s="473"/>
      <c r="D7" s="476"/>
      <c r="E7" s="475"/>
      <c r="F7" s="475"/>
      <c r="G7" s="474"/>
      <c r="H7" s="473"/>
      <c r="I7" s="83" t="s">
        <v>1392</v>
      </c>
      <c r="J7" s="39" t="s">
        <v>1401</v>
      </c>
      <c r="K7" s="21">
        <v>1</v>
      </c>
      <c r="L7" s="41">
        <v>913</v>
      </c>
    </row>
    <row r="8" spans="1:12" s="10" customFormat="1" ht="39.450000000000003" customHeight="1" x14ac:dyDescent="0.25">
      <c r="A8" s="437"/>
      <c r="B8" s="462"/>
      <c r="C8" s="473"/>
      <c r="D8" s="476"/>
      <c r="E8" s="475"/>
      <c r="F8" s="475"/>
      <c r="G8" s="474"/>
      <c r="H8" s="473"/>
      <c r="I8" s="83" t="s">
        <v>1393</v>
      </c>
      <c r="J8" s="39" t="s">
        <v>1402</v>
      </c>
      <c r="K8" s="21">
        <v>1</v>
      </c>
      <c r="L8" s="41">
        <v>685</v>
      </c>
    </row>
    <row r="9" spans="1:12" s="10" customFormat="1" ht="39.450000000000003" customHeight="1" x14ac:dyDescent="0.25">
      <c r="A9" s="437"/>
      <c r="B9" s="477"/>
      <c r="C9" s="468"/>
      <c r="D9" s="472"/>
      <c r="E9" s="464"/>
      <c r="F9" s="464"/>
      <c r="G9" s="470"/>
      <c r="H9" s="468"/>
      <c r="I9" s="83" t="s">
        <v>1138</v>
      </c>
      <c r="J9" s="39" t="s">
        <v>1403</v>
      </c>
      <c r="K9" s="21">
        <v>1</v>
      </c>
      <c r="L9" s="41">
        <v>5273</v>
      </c>
    </row>
    <row r="10" spans="1:12" s="10" customFormat="1" ht="63" customHeight="1" x14ac:dyDescent="0.25">
      <c r="A10" s="337">
        <v>2</v>
      </c>
      <c r="B10" s="353">
        <v>2</v>
      </c>
      <c r="C10" s="113">
        <v>45567</v>
      </c>
      <c r="D10" s="148">
        <v>2024100400001</v>
      </c>
      <c r="E10" s="150" t="s">
        <v>25</v>
      </c>
      <c r="F10" s="150" t="s">
        <v>1395</v>
      </c>
      <c r="G10" s="149" t="s">
        <v>1396</v>
      </c>
      <c r="H10" s="113">
        <v>45568</v>
      </c>
      <c r="I10" s="83" t="s">
        <v>1397</v>
      </c>
      <c r="J10" s="39" t="s">
        <v>604</v>
      </c>
      <c r="K10" s="21">
        <v>1</v>
      </c>
      <c r="L10" s="41">
        <v>364</v>
      </c>
    </row>
    <row r="11" spans="1:12" s="10" customFormat="1" ht="60" customHeight="1" thickBot="1" x14ac:dyDescent="0.3">
      <c r="A11" s="341"/>
      <c r="B11" s="335"/>
      <c r="C11" s="335"/>
      <c r="D11" s="335"/>
      <c r="E11" s="335"/>
      <c r="F11" s="335"/>
      <c r="G11" s="335"/>
      <c r="H11" s="336"/>
      <c r="I11" s="402" t="s">
        <v>805</v>
      </c>
      <c r="J11" s="403"/>
      <c r="K11" s="404"/>
      <c r="L11" s="285">
        <f>SUM(L4:L10)</f>
        <v>26022</v>
      </c>
    </row>
    <row r="12" spans="1:12" ht="26.4" customHeight="1" x14ac:dyDescent="0.25"/>
  </sheetData>
  <autoFilter ref="A3:L11" xr:uid="{00000000-0009-0000-0000-000001000000}"/>
  <mergeCells count="12">
    <mergeCell ref="A1:L1"/>
    <mergeCell ref="A2:F2"/>
    <mergeCell ref="G2:L2"/>
    <mergeCell ref="A4:A9"/>
    <mergeCell ref="I11:K11"/>
    <mergeCell ref="C4:C9"/>
    <mergeCell ref="D4:D9"/>
    <mergeCell ref="E4:E9"/>
    <mergeCell ref="F4:F9"/>
    <mergeCell ref="G4:G9"/>
    <mergeCell ref="H4:H9"/>
    <mergeCell ref="B4:B9"/>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L26"/>
  <sheetViews>
    <sheetView view="pageBreakPreview" zoomScale="33" zoomScaleNormal="40" zoomScaleSheetLayoutView="33" workbookViewId="0">
      <pane ySplit="1" topLeftCell="A2" activePane="bottomLeft" state="frozen"/>
      <selection pane="bottomLeft" activeCell="A4" sqref="A4:A14"/>
    </sheetView>
  </sheetViews>
  <sheetFormatPr defaultColWidth="14.44140625" defaultRowHeight="15.75" customHeight="1" x14ac:dyDescent="0.25"/>
  <cols>
    <col min="1" max="1" width="8.33203125" customWidth="1"/>
    <col min="2" max="2" width="8.88671875"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1358</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45" customHeight="1" x14ac:dyDescent="0.25">
      <c r="A4" s="453">
        <v>1</v>
      </c>
      <c r="B4" s="451">
        <v>1</v>
      </c>
      <c r="C4" s="426">
        <v>45553</v>
      </c>
      <c r="D4" s="427">
        <v>2024092300003</v>
      </c>
      <c r="E4" s="379" t="s">
        <v>454</v>
      </c>
      <c r="F4" s="378" t="s">
        <v>1379</v>
      </c>
      <c r="G4" s="378" t="s">
        <v>1380</v>
      </c>
      <c r="H4" s="426">
        <v>45554</v>
      </c>
      <c r="I4" s="83" t="s">
        <v>1361</v>
      </c>
      <c r="J4" s="39" t="s">
        <v>1363</v>
      </c>
      <c r="K4" s="21">
        <v>1</v>
      </c>
      <c r="L4" s="41">
        <v>11983</v>
      </c>
    </row>
    <row r="5" spans="1:12" s="10" customFormat="1" ht="45" customHeight="1" x14ac:dyDescent="0.25">
      <c r="A5" s="453"/>
      <c r="B5" s="480"/>
      <c r="C5" s="426"/>
      <c r="D5" s="427"/>
      <c r="E5" s="379"/>
      <c r="F5" s="378"/>
      <c r="G5" s="378"/>
      <c r="H5" s="426"/>
      <c r="I5" s="83" t="s">
        <v>1362</v>
      </c>
      <c r="J5" s="39" t="s">
        <v>1364</v>
      </c>
      <c r="K5" s="21">
        <v>1</v>
      </c>
      <c r="L5" s="41">
        <v>913</v>
      </c>
    </row>
    <row r="6" spans="1:12" s="10" customFormat="1" ht="45" customHeight="1" x14ac:dyDescent="0.25">
      <c r="A6" s="453"/>
      <c r="B6" s="480">
        <v>2</v>
      </c>
      <c r="C6" s="426">
        <v>45553</v>
      </c>
      <c r="D6" s="427">
        <v>2024092300002</v>
      </c>
      <c r="E6" s="379" t="s">
        <v>454</v>
      </c>
      <c r="F6" s="378" t="s">
        <v>1377</v>
      </c>
      <c r="G6" s="378" t="s">
        <v>1378</v>
      </c>
      <c r="H6" s="426">
        <v>45554</v>
      </c>
      <c r="I6" s="83" t="s">
        <v>1361</v>
      </c>
      <c r="J6" s="39" t="s">
        <v>1363</v>
      </c>
      <c r="K6" s="21">
        <v>1</v>
      </c>
      <c r="L6" s="41">
        <v>11983</v>
      </c>
    </row>
    <row r="7" spans="1:12" s="10" customFormat="1" ht="45" customHeight="1" x14ac:dyDescent="0.25">
      <c r="A7" s="453"/>
      <c r="B7" s="480"/>
      <c r="C7" s="426"/>
      <c r="D7" s="427"/>
      <c r="E7" s="379"/>
      <c r="F7" s="378"/>
      <c r="G7" s="378"/>
      <c r="H7" s="426"/>
      <c r="I7" s="83" t="s">
        <v>1362</v>
      </c>
      <c r="J7" s="39" t="s">
        <v>1364</v>
      </c>
      <c r="K7" s="21">
        <v>1</v>
      </c>
      <c r="L7" s="41">
        <v>913</v>
      </c>
    </row>
    <row r="8" spans="1:12" s="10" customFormat="1" ht="45" customHeight="1" x14ac:dyDescent="0.25">
      <c r="A8" s="453"/>
      <c r="B8" s="481">
        <v>3</v>
      </c>
      <c r="C8" s="382">
        <v>45536</v>
      </c>
      <c r="D8" s="427">
        <v>2024092400002</v>
      </c>
      <c r="E8" s="379" t="s">
        <v>454</v>
      </c>
      <c r="F8" s="378" t="s">
        <v>1359</v>
      </c>
      <c r="G8" s="378" t="s">
        <v>1360</v>
      </c>
      <c r="H8" s="382">
        <v>45537</v>
      </c>
      <c r="I8" s="83" t="s">
        <v>1361</v>
      </c>
      <c r="J8" s="39" t="s">
        <v>1363</v>
      </c>
      <c r="K8" s="21">
        <v>1</v>
      </c>
      <c r="L8" s="41">
        <v>11983</v>
      </c>
    </row>
    <row r="9" spans="1:12" s="10" customFormat="1" ht="45" customHeight="1" x14ac:dyDescent="0.25">
      <c r="A9" s="453"/>
      <c r="B9" s="481"/>
      <c r="C9" s="382"/>
      <c r="D9" s="427"/>
      <c r="E9" s="379"/>
      <c r="F9" s="378"/>
      <c r="G9" s="378"/>
      <c r="H9" s="382"/>
      <c r="I9" s="83" t="s">
        <v>1362</v>
      </c>
      <c r="J9" s="39" t="s">
        <v>1364</v>
      </c>
      <c r="K9" s="21">
        <v>1</v>
      </c>
      <c r="L9" s="41">
        <v>913</v>
      </c>
    </row>
    <row r="10" spans="1:12" s="10" customFormat="1" ht="45" customHeight="1" x14ac:dyDescent="0.25">
      <c r="A10" s="453"/>
      <c r="B10" s="481">
        <v>4</v>
      </c>
      <c r="C10" s="382">
        <v>45536</v>
      </c>
      <c r="D10" s="427">
        <v>2024092400003</v>
      </c>
      <c r="E10" s="379" t="s">
        <v>454</v>
      </c>
      <c r="F10" s="378" t="s">
        <v>1366</v>
      </c>
      <c r="G10" s="378" t="s">
        <v>1365</v>
      </c>
      <c r="H10" s="382">
        <v>45537</v>
      </c>
      <c r="I10" s="83" t="s">
        <v>1361</v>
      </c>
      <c r="J10" s="39" t="s">
        <v>1363</v>
      </c>
      <c r="K10" s="21">
        <v>1</v>
      </c>
      <c r="L10" s="41">
        <v>11983</v>
      </c>
    </row>
    <row r="11" spans="1:12" s="347" customFormat="1" ht="45" customHeight="1" x14ac:dyDescent="0.25">
      <c r="A11" s="453"/>
      <c r="B11" s="481"/>
      <c r="C11" s="382"/>
      <c r="D11" s="427"/>
      <c r="E11" s="379"/>
      <c r="F11" s="378"/>
      <c r="G11" s="378"/>
      <c r="H11" s="382"/>
      <c r="I11" s="83" t="s">
        <v>1362</v>
      </c>
      <c r="J11" s="39" t="s">
        <v>1364</v>
      </c>
      <c r="K11" s="21">
        <v>1</v>
      </c>
      <c r="L11" s="41">
        <v>913</v>
      </c>
    </row>
    <row r="12" spans="1:12" s="347" customFormat="1" ht="34.950000000000003" customHeight="1" x14ac:dyDescent="0.25">
      <c r="A12" s="453"/>
      <c r="B12" s="381" t="s">
        <v>844</v>
      </c>
      <c r="C12" s="381"/>
      <c r="D12" s="381"/>
      <c r="E12" s="381"/>
      <c r="F12" s="381"/>
      <c r="G12" s="381"/>
      <c r="H12" s="381"/>
      <c r="I12" s="133" t="s">
        <v>598</v>
      </c>
      <c r="J12" s="39" t="s">
        <v>595</v>
      </c>
      <c r="K12" s="21">
        <v>4</v>
      </c>
      <c r="L12" s="134">
        <f>L6*K12</f>
        <v>47932</v>
      </c>
    </row>
    <row r="13" spans="1:12" s="347" customFormat="1" ht="34.950000000000003" customHeight="1" x14ac:dyDescent="0.25">
      <c r="A13" s="453"/>
      <c r="B13" s="381"/>
      <c r="C13" s="381"/>
      <c r="D13" s="381"/>
      <c r="E13" s="381"/>
      <c r="F13" s="381"/>
      <c r="G13" s="381"/>
      <c r="H13" s="381"/>
      <c r="I13" s="133" t="s">
        <v>599</v>
      </c>
      <c r="J13" s="39" t="s">
        <v>597</v>
      </c>
      <c r="K13" s="21">
        <v>4</v>
      </c>
      <c r="L13" s="134">
        <f>L7*K13</f>
        <v>3652</v>
      </c>
    </row>
    <row r="14" spans="1:12" s="347" customFormat="1" ht="34.950000000000003" customHeight="1" x14ac:dyDescent="0.25">
      <c r="A14" s="453"/>
      <c r="B14" s="381"/>
      <c r="C14" s="381"/>
      <c r="D14" s="381"/>
      <c r="E14" s="381"/>
      <c r="F14" s="381"/>
      <c r="G14" s="381"/>
      <c r="H14" s="381"/>
      <c r="I14" s="478" t="s">
        <v>846</v>
      </c>
      <c r="J14" s="478"/>
      <c r="K14" s="478"/>
      <c r="L14" s="349">
        <f>SUM(L12:L13)</f>
        <v>51584</v>
      </c>
    </row>
    <row r="15" spans="1:12" s="10" customFormat="1" ht="45" customHeight="1" x14ac:dyDescent="0.25">
      <c r="A15" s="452">
        <v>2</v>
      </c>
      <c r="B15" s="479">
        <v>1</v>
      </c>
      <c r="C15" s="426">
        <v>45541</v>
      </c>
      <c r="D15" s="427">
        <v>2024090900001</v>
      </c>
      <c r="E15" s="379" t="s">
        <v>454</v>
      </c>
      <c r="F15" s="378" t="s">
        <v>1367</v>
      </c>
      <c r="G15" s="378" t="s">
        <v>1368</v>
      </c>
      <c r="H15" s="426">
        <v>45544</v>
      </c>
      <c r="I15" s="83" t="s">
        <v>1369</v>
      </c>
      <c r="J15" s="39" t="s">
        <v>1266</v>
      </c>
      <c r="K15" s="21">
        <v>90</v>
      </c>
      <c r="L15" s="134">
        <v>5670</v>
      </c>
    </row>
    <row r="16" spans="1:12" s="10" customFormat="1" ht="45" customHeight="1" x14ac:dyDescent="0.25">
      <c r="A16" s="452"/>
      <c r="B16" s="479"/>
      <c r="C16" s="426"/>
      <c r="D16" s="427"/>
      <c r="E16" s="379"/>
      <c r="F16" s="378"/>
      <c r="G16" s="378"/>
      <c r="H16" s="426"/>
      <c r="I16" s="83" t="s">
        <v>1334</v>
      </c>
      <c r="J16" s="39" t="s">
        <v>1266</v>
      </c>
      <c r="K16" s="21">
        <v>5</v>
      </c>
      <c r="L16" s="134">
        <v>315</v>
      </c>
    </row>
    <row r="17" spans="1:12" s="10" customFormat="1" ht="45" customHeight="1" x14ac:dyDescent="0.25">
      <c r="A17" s="452"/>
      <c r="B17" s="479"/>
      <c r="C17" s="426"/>
      <c r="D17" s="427"/>
      <c r="E17" s="379"/>
      <c r="F17" s="378"/>
      <c r="G17" s="378"/>
      <c r="H17" s="426"/>
      <c r="I17" s="83" t="s">
        <v>1361</v>
      </c>
      <c r="J17" s="39" t="s">
        <v>1363</v>
      </c>
      <c r="K17" s="21">
        <v>1</v>
      </c>
      <c r="L17" s="41">
        <v>11983</v>
      </c>
    </row>
    <row r="18" spans="1:12" s="10" customFormat="1" ht="45" customHeight="1" x14ac:dyDescent="0.25">
      <c r="A18" s="452"/>
      <c r="B18" s="479"/>
      <c r="C18" s="426"/>
      <c r="D18" s="427"/>
      <c r="E18" s="379"/>
      <c r="F18" s="378"/>
      <c r="G18" s="378"/>
      <c r="H18" s="426"/>
      <c r="I18" s="83" t="s">
        <v>1362</v>
      </c>
      <c r="J18" s="39" t="s">
        <v>1364</v>
      </c>
      <c r="K18" s="21">
        <v>1</v>
      </c>
      <c r="L18" s="41">
        <v>913</v>
      </c>
    </row>
    <row r="19" spans="1:12" s="10" customFormat="1" ht="45" customHeight="1" x14ac:dyDescent="0.25">
      <c r="A19" s="452"/>
      <c r="B19" s="479"/>
      <c r="C19" s="426"/>
      <c r="D19" s="427"/>
      <c r="E19" s="379"/>
      <c r="F19" s="378"/>
      <c r="G19" s="378"/>
      <c r="H19" s="426"/>
      <c r="I19" s="83" t="s">
        <v>1370</v>
      </c>
      <c r="J19" s="39" t="s">
        <v>639</v>
      </c>
      <c r="K19" s="21">
        <v>1</v>
      </c>
      <c r="L19" s="41">
        <v>364</v>
      </c>
    </row>
    <row r="20" spans="1:12" s="10" customFormat="1" ht="45" customHeight="1" x14ac:dyDescent="0.25">
      <c r="A20" s="452"/>
      <c r="B20" s="479"/>
      <c r="C20" s="426"/>
      <c r="D20" s="427"/>
      <c r="E20" s="379"/>
      <c r="F20" s="378"/>
      <c r="G20" s="378"/>
      <c r="H20" s="426"/>
      <c r="I20" s="83" t="s">
        <v>1385</v>
      </c>
      <c r="J20" s="39" t="s">
        <v>1371</v>
      </c>
      <c r="K20" s="21">
        <v>1</v>
      </c>
      <c r="L20" s="134">
        <v>3164</v>
      </c>
    </row>
    <row r="21" spans="1:12" s="10" customFormat="1" ht="45" customHeight="1" x14ac:dyDescent="0.25">
      <c r="A21" s="453">
        <v>3</v>
      </c>
      <c r="B21" s="451">
        <v>1</v>
      </c>
      <c r="C21" s="382">
        <v>45551</v>
      </c>
      <c r="D21" s="427">
        <v>2024091900005</v>
      </c>
      <c r="E21" s="379" t="s">
        <v>1372</v>
      </c>
      <c r="F21" s="378" t="s">
        <v>1373</v>
      </c>
      <c r="G21" s="378" t="s">
        <v>1374</v>
      </c>
      <c r="H21" s="382">
        <v>45553</v>
      </c>
      <c r="I21" s="83" t="s">
        <v>1375</v>
      </c>
      <c r="J21" s="39" t="s">
        <v>637</v>
      </c>
      <c r="K21" s="21">
        <v>1</v>
      </c>
      <c r="L21" s="134">
        <v>1342</v>
      </c>
    </row>
    <row r="22" spans="1:12" s="10" customFormat="1" ht="45" customHeight="1" x14ac:dyDescent="0.25">
      <c r="A22" s="453"/>
      <c r="B22" s="480"/>
      <c r="C22" s="382"/>
      <c r="D22" s="427"/>
      <c r="E22" s="379"/>
      <c r="F22" s="378"/>
      <c r="G22" s="378"/>
      <c r="H22" s="382"/>
      <c r="I22" s="83" t="s">
        <v>1376</v>
      </c>
      <c r="J22" s="39" t="s">
        <v>637</v>
      </c>
      <c r="K22" s="21">
        <v>1</v>
      </c>
      <c r="L22" s="134">
        <v>240</v>
      </c>
    </row>
    <row r="23" spans="1:12" s="10" customFormat="1" ht="45" customHeight="1" x14ac:dyDescent="0.25">
      <c r="A23" s="453"/>
      <c r="B23" s="480"/>
      <c r="C23" s="382"/>
      <c r="D23" s="427"/>
      <c r="E23" s="379"/>
      <c r="F23" s="378"/>
      <c r="G23" s="378"/>
      <c r="H23" s="382"/>
      <c r="I23" s="83" t="s">
        <v>1384</v>
      </c>
      <c r="J23" s="39" t="s">
        <v>639</v>
      </c>
      <c r="K23" s="21">
        <v>5</v>
      </c>
      <c r="L23" s="134">
        <v>2160</v>
      </c>
    </row>
    <row r="24" spans="1:12" s="10" customFormat="1" ht="90" customHeight="1" x14ac:dyDescent="0.25">
      <c r="A24" s="337">
        <v>4</v>
      </c>
      <c r="B24" s="203">
        <v>1</v>
      </c>
      <c r="C24" s="113">
        <v>45554</v>
      </c>
      <c r="D24" s="151">
        <v>2024092300004</v>
      </c>
      <c r="E24" s="150" t="s">
        <v>454</v>
      </c>
      <c r="F24" s="81" t="s">
        <v>1382</v>
      </c>
      <c r="G24" s="81" t="s">
        <v>1381</v>
      </c>
      <c r="H24" s="113">
        <v>45555</v>
      </c>
      <c r="I24" s="83" t="s">
        <v>1383</v>
      </c>
      <c r="J24" s="39" t="s">
        <v>941</v>
      </c>
      <c r="K24" s="21">
        <v>1</v>
      </c>
      <c r="L24" s="134">
        <v>1438</v>
      </c>
    </row>
    <row r="25" spans="1:12" s="10" customFormat="1" ht="60" customHeight="1" thickBot="1" x14ac:dyDescent="0.3">
      <c r="A25" s="341"/>
      <c r="B25" s="335"/>
      <c r="C25" s="335"/>
      <c r="D25" s="335"/>
      <c r="E25" s="335"/>
      <c r="F25" s="335"/>
      <c r="G25" s="335"/>
      <c r="H25" s="336"/>
      <c r="I25" s="402" t="s">
        <v>805</v>
      </c>
      <c r="J25" s="403"/>
      <c r="K25" s="404"/>
      <c r="L25" s="285">
        <f>SUM(L15:L24)+L14</f>
        <v>79173</v>
      </c>
    </row>
    <row r="26" spans="1:12" ht="26.4" customHeight="1" x14ac:dyDescent="0.25"/>
  </sheetData>
  <autoFilter ref="A3:L25" xr:uid="{00000000-0009-0000-0000-000002000000}"/>
  <mergeCells count="51">
    <mergeCell ref="A1:L1"/>
    <mergeCell ref="A2:F2"/>
    <mergeCell ref="G2:L2"/>
    <mergeCell ref="B8:B9"/>
    <mergeCell ref="G10:G11"/>
    <mergeCell ref="C4:C5"/>
    <mergeCell ref="D4:D5"/>
    <mergeCell ref="B10:B11"/>
    <mergeCell ref="E4:E5"/>
    <mergeCell ref="F4:F5"/>
    <mergeCell ref="G4:G5"/>
    <mergeCell ref="H4:H5"/>
    <mergeCell ref="B4:B5"/>
    <mergeCell ref="B6:B7"/>
    <mergeCell ref="C6:C7"/>
    <mergeCell ref="D6:D7"/>
    <mergeCell ref="A21:A23"/>
    <mergeCell ref="C21:C23"/>
    <mergeCell ref="D21:D23"/>
    <mergeCell ref="E21:E23"/>
    <mergeCell ref="F21:F23"/>
    <mergeCell ref="B21:B23"/>
    <mergeCell ref="I25:K25"/>
    <mergeCell ref="C8:C9"/>
    <mergeCell ref="D8:D9"/>
    <mergeCell ref="E8:E9"/>
    <mergeCell ref="F8:F9"/>
    <mergeCell ref="G8:G9"/>
    <mergeCell ref="H8:H9"/>
    <mergeCell ref="H10:H11"/>
    <mergeCell ref="G15:G20"/>
    <mergeCell ref="H21:H23"/>
    <mergeCell ref="G21:G23"/>
    <mergeCell ref="F15:F20"/>
    <mergeCell ref="C10:C11"/>
    <mergeCell ref="D10:D11"/>
    <mergeCell ref="E10:E11"/>
    <mergeCell ref="F10:F11"/>
    <mergeCell ref="E6:E7"/>
    <mergeCell ref="B12:H14"/>
    <mergeCell ref="I14:K14"/>
    <mergeCell ref="A4:A14"/>
    <mergeCell ref="A15:A20"/>
    <mergeCell ref="B15:B20"/>
    <mergeCell ref="C15:C20"/>
    <mergeCell ref="D15:D20"/>
    <mergeCell ref="E15:E20"/>
    <mergeCell ref="H15:H20"/>
    <mergeCell ref="F6:F7"/>
    <mergeCell ref="G6:G7"/>
    <mergeCell ref="H6:H7"/>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N52"/>
  <sheetViews>
    <sheetView view="pageBreakPreview" zoomScale="40" zoomScaleNormal="40" zoomScaleSheetLayoutView="40" workbookViewId="0">
      <pane ySplit="1" topLeftCell="A2" activePane="bottomLeft" state="frozen"/>
      <selection pane="bottomLeft" activeCell="L51" sqref="L51"/>
    </sheetView>
  </sheetViews>
  <sheetFormatPr defaultColWidth="14.44140625" defaultRowHeight="15.75" customHeight="1" x14ac:dyDescent="0.25"/>
  <cols>
    <col min="1" max="1" width="8.33203125" customWidth="1"/>
    <col min="2" max="2" width="9.109375"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57" t="s">
        <v>12</v>
      </c>
      <c r="B2" s="458"/>
      <c r="C2" s="458"/>
      <c r="D2" s="458"/>
      <c r="E2" s="458"/>
      <c r="F2" s="458"/>
      <c r="G2" s="459" t="s">
        <v>1286</v>
      </c>
      <c r="H2" s="459"/>
      <c r="I2" s="459"/>
      <c r="J2" s="459"/>
      <c r="K2" s="459"/>
      <c r="L2" s="460"/>
    </row>
    <row r="3" spans="1:12" s="10" customFormat="1" ht="50.1" customHeight="1" x14ac:dyDescent="0.25">
      <c r="A3" s="153" t="s">
        <v>23</v>
      </c>
      <c r="B3" s="156" t="s">
        <v>653</v>
      </c>
      <c r="C3" s="154" t="s">
        <v>224</v>
      </c>
      <c r="D3" s="155" t="s">
        <v>22</v>
      </c>
      <c r="E3" s="156" t="s">
        <v>0</v>
      </c>
      <c r="F3" s="156" t="s">
        <v>2</v>
      </c>
      <c r="G3" s="156" t="s">
        <v>19</v>
      </c>
      <c r="H3" s="154" t="s">
        <v>1</v>
      </c>
      <c r="I3" s="154" t="s">
        <v>15</v>
      </c>
      <c r="J3" s="154" t="s">
        <v>592</v>
      </c>
      <c r="K3" s="154" t="s">
        <v>591</v>
      </c>
      <c r="L3" s="157" t="s">
        <v>804</v>
      </c>
    </row>
    <row r="4" spans="1:12" s="10" customFormat="1" ht="49.95" customHeight="1" x14ac:dyDescent="0.25">
      <c r="A4" s="452">
        <v>1</v>
      </c>
      <c r="B4" s="479">
        <v>1</v>
      </c>
      <c r="C4" s="382">
        <v>45516</v>
      </c>
      <c r="D4" s="397">
        <v>2024082000002</v>
      </c>
      <c r="E4" s="379" t="s">
        <v>1287</v>
      </c>
      <c r="F4" s="401" t="s">
        <v>1288</v>
      </c>
      <c r="G4" s="401" t="s">
        <v>1289</v>
      </c>
      <c r="H4" s="382">
        <v>45518</v>
      </c>
      <c r="I4" s="133" t="s">
        <v>1290</v>
      </c>
      <c r="J4" s="39" t="s">
        <v>595</v>
      </c>
      <c r="K4" s="21">
        <v>1</v>
      </c>
      <c r="L4" s="134">
        <v>11983</v>
      </c>
    </row>
    <row r="5" spans="1:12" s="10" customFormat="1" ht="49.95" customHeight="1" x14ac:dyDescent="0.25">
      <c r="A5" s="452"/>
      <c r="B5" s="479"/>
      <c r="C5" s="382"/>
      <c r="D5" s="380"/>
      <c r="E5" s="379"/>
      <c r="F5" s="401"/>
      <c r="G5" s="401"/>
      <c r="H5" s="382"/>
      <c r="I5" s="133" t="s">
        <v>1291</v>
      </c>
      <c r="J5" s="39" t="s">
        <v>1292</v>
      </c>
      <c r="K5" s="21">
        <v>1</v>
      </c>
      <c r="L5" s="134">
        <v>913</v>
      </c>
    </row>
    <row r="6" spans="1:12" s="10" customFormat="1" ht="49.95" customHeight="1" x14ac:dyDescent="0.25">
      <c r="A6" s="452"/>
      <c r="B6" s="479">
        <v>2</v>
      </c>
      <c r="C6" s="382">
        <v>45516</v>
      </c>
      <c r="D6" s="397">
        <v>2024082000005</v>
      </c>
      <c r="E6" s="379" t="s">
        <v>1296</v>
      </c>
      <c r="F6" s="383" t="s">
        <v>1297</v>
      </c>
      <c r="G6" s="383" t="s">
        <v>1298</v>
      </c>
      <c r="H6" s="382">
        <v>45518</v>
      </c>
      <c r="I6" s="133" t="s">
        <v>1290</v>
      </c>
      <c r="J6" s="39" t="s">
        <v>595</v>
      </c>
      <c r="K6" s="21">
        <v>1</v>
      </c>
      <c r="L6" s="134">
        <v>11983</v>
      </c>
    </row>
    <row r="7" spans="1:12" s="10" customFormat="1" ht="49.95" customHeight="1" x14ac:dyDescent="0.25">
      <c r="A7" s="452"/>
      <c r="B7" s="479"/>
      <c r="C7" s="382"/>
      <c r="D7" s="397"/>
      <c r="E7" s="379"/>
      <c r="F7" s="383"/>
      <c r="G7" s="383"/>
      <c r="H7" s="382"/>
      <c r="I7" s="133" t="s">
        <v>1291</v>
      </c>
      <c r="J7" s="39" t="s">
        <v>1292</v>
      </c>
      <c r="K7" s="21">
        <v>1</v>
      </c>
      <c r="L7" s="134">
        <v>913</v>
      </c>
    </row>
    <row r="8" spans="1:12" s="10" customFormat="1" ht="49.95" customHeight="1" x14ac:dyDescent="0.25">
      <c r="A8" s="452"/>
      <c r="B8" s="479">
        <v>3</v>
      </c>
      <c r="C8" s="382">
        <v>45516</v>
      </c>
      <c r="D8" s="397">
        <v>2024082000004</v>
      </c>
      <c r="E8" s="379" t="s">
        <v>1293</v>
      </c>
      <c r="F8" s="383" t="s">
        <v>1294</v>
      </c>
      <c r="G8" s="383" t="s">
        <v>1295</v>
      </c>
      <c r="H8" s="382">
        <v>45518</v>
      </c>
      <c r="I8" s="133" t="s">
        <v>1290</v>
      </c>
      <c r="J8" s="39" t="s">
        <v>595</v>
      </c>
      <c r="K8" s="21">
        <v>1</v>
      </c>
      <c r="L8" s="134">
        <v>11983</v>
      </c>
    </row>
    <row r="9" spans="1:12" s="10" customFormat="1" ht="49.95" customHeight="1" x14ac:dyDescent="0.25">
      <c r="A9" s="452"/>
      <c r="B9" s="479"/>
      <c r="C9" s="382"/>
      <c r="D9" s="397"/>
      <c r="E9" s="379"/>
      <c r="F9" s="383"/>
      <c r="G9" s="383"/>
      <c r="H9" s="382"/>
      <c r="I9" s="133" t="s">
        <v>1291</v>
      </c>
      <c r="J9" s="39" t="s">
        <v>1292</v>
      </c>
      <c r="K9" s="21">
        <v>1</v>
      </c>
      <c r="L9" s="134">
        <v>913</v>
      </c>
    </row>
    <row r="10" spans="1:12" s="10" customFormat="1" ht="40.049999999999997" customHeight="1" x14ac:dyDescent="0.25">
      <c r="A10" s="452"/>
      <c r="B10" s="381" t="s">
        <v>1352</v>
      </c>
      <c r="C10" s="381"/>
      <c r="D10" s="381"/>
      <c r="E10" s="381"/>
      <c r="F10" s="381"/>
      <c r="G10" s="381"/>
      <c r="H10" s="381"/>
      <c r="I10" s="133" t="s">
        <v>1290</v>
      </c>
      <c r="J10" s="39" t="s">
        <v>595</v>
      </c>
      <c r="K10" s="21">
        <v>3</v>
      </c>
      <c r="L10" s="134">
        <f>L4*3</f>
        <v>35949</v>
      </c>
    </row>
    <row r="11" spans="1:12" s="10" customFormat="1" ht="40.049999999999997" customHeight="1" x14ac:dyDescent="0.25">
      <c r="A11" s="452"/>
      <c r="B11" s="381"/>
      <c r="C11" s="381"/>
      <c r="D11" s="381"/>
      <c r="E11" s="381"/>
      <c r="F11" s="381"/>
      <c r="G11" s="381"/>
      <c r="H11" s="381"/>
      <c r="I11" s="133" t="s">
        <v>1291</v>
      </c>
      <c r="J11" s="39" t="s">
        <v>1292</v>
      </c>
      <c r="K11" s="21">
        <v>3</v>
      </c>
      <c r="L11" s="134">
        <f>L5*3</f>
        <v>2739</v>
      </c>
    </row>
    <row r="12" spans="1:12" s="10" customFormat="1" ht="40.049999999999997" customHeight="1" x14ac:dyDescent="0.25">
      <c r="A12" s="452"/>
      <c r="B12" s="381"/>
      <c r="C12" s="381"/>
      <c r="D12" s="381"/>
      <c r="E12" s="381"/>
      <c r="F12" s="381"/>
      <c r="G12" s="381"/>
      <c r="H12" s="381"/>
      <c r="I12" s="478" t="s">
        <v>1355</v>
      </c>
      <c r="J12" s="478"/>
      <c r="K12" s="478"/>
      <c r="L12" s="349">
        <f>SUM(L10:L11)</f>
        <v>38688</v>
      </c>
    </row>
    <row r="13" spans="1:12" s="10" customFormat="1" ht="49.95" customHeight="1" x14ac:dyDescent="0.25">
      <c r="A13" s="453">
        <v>2</v>
      </c>
      <c r="B13" s="481">
        <v>1</v>
      </c>
      <c r="C13" s="382">
        <v>45516</v>
      </c>
      <c r="D13" s="380">
        <v>2024082000003</v>
      </c>
      <c r="E13" s="379" t="s">
        <v>1299</v>
      </c>
      <c r="F13" s="401" t="s">
        <v>1300</v>
      </c>
      <c r="G13" s="401" t="s">
        <v>1301</v>
      </c>
      <c r="H13" s="382">
        <v>45518</v>
      </c>
      <c r="I13" s="133" t="s">
        <v>598</v>
      </c>
      <c r="J13" s="39" t="s">
        <v>595</v>
      </c>
      <c r="K13" s="21">
        <v>1</v>
      </c>
      <c r="L13" s="134">
        <v>11983</v>
      </c>
    </row>
    <row r="14" spans="1:12" s="10" customFormat="1" ht="49.95" customHeight="1" x14ac:dyDescent="0.25">
      <c r="A14" s="453"/>
      <c r="B14" s="481"/>
      <c r="C14" s="382"/>
      <c r="D14" s="380"/>
      <c r="E14" s="379"/>
      <c r="F14" s="401"/>
      <c r="G14" s="401"/>
      <c r="H14" s="382"/>
      <c r="I14" s="133" t="s">
        <v>599</v>
      </c>
      <c r="J14" s="39" t="s">
        <v>597</v>
      </c>
      <c r="K14" s="21">
        <v>1</v>
      </c>
      <c r="L14" s="134">
        <v>913</v>
      </c>
    </row>
    <row r="15" spans="1:12" s="10" customFormat="1" ht="49.95" customHeight="1" x14ac:dyDescent="0.25">
      <c r="A15" s="452">
        <v>3</v>
      </c>
      <c r="B15" s="479">
        <v>1</v>
      </c>
      <c r="C15" s="382">
        <v>45517</v>
      </c>
      <c r="D15" s="397">
        <v>2024081500003</v>
      </c>
      <c r="E15" s="379" t="s">
        <v>1302</v>
      </c>
      <c r="F15" s="401" t="s">
        <v>1303</v>
      </c>
      <c r="G15" s="401" t="s">
        <v>1304</v>
      </c>
      <c r="H15" s="382" t="s">
        <v>1306</v>
      </c>
      <c r="I15" s="133" t="s">
        <v>1307</v>
      </c>
      <c r="J15" s="39" t="s">
        <v>1310</v>
      </c>
      <c r="K15" s="21">
        <v>1</v>
      </c>
      <c r="L15" s="134">
        <v>738</v>
      </c>
    </row>
    <row r="16" spans="1:12" s="10" customFormat="1" ht="49.95" customHeight="1" x14ac:dyDescent="0.25">
      <c r="A16" s="452"/>
      <c r="B16" s="479"/>
      <c r="C16" s="382"/>
      <c r="D16" s="380"/>
      <c r="E16" s="379"/>
      <c r="F16" s="401"/>
      <c r="G16" s="401"/>
      <c r="H16" s="382"/>
      <c r="I16" s="133" t="s">
        <v>1308</v>
      </c>
      <c r="J16" s="39" t="s">
        <v>1311</v>
      </c>
      <c r="K16" s="21">
        <v>3</v>
      </c>
      <c r="L16" s="134">
        <v>2127</v>
      </c>
    </row>
    <row r="17" spans="1:14" s="10" customFormat="1" ht="49.95" customHeight="1" x14ac:dyDescent="0.25">
      <c r="A17" s="452"/>
      <c r="B17" s="479"/>
      <c r="C17" s="382"/>
      <c r="D17" s="380"/>
      <c r="E17" s="379"/>
      <c r="F17" s="401"/>
      <c r="G17" s="401"/>
      <c r="H17" s="382"/>
      <c r="I17" s="133" t="s">
        <v>1309</v>
      </c>
      <c r="J17" s="39" t="s">
        <v>1312</v>
      </c>
      <c r="K17" s="21">
        <v>3</v>
      </c>
      <c r="L17" s="134">
        <v>519</v>
      </c>
    </row>
    <row r="18" spans="1:14" s="10" customFormat="1" ht="100.05" customHeight="1" x14ac:dyDescent="0.25">
      <c r="A18" s="334">
        <v>4</v>
      </c>
      <c r="B18" s="338">
        <v>1</v>
      </c>
      <c r="C18" s="113">
        <v>45517</v>
      </c>
      <c r="D18" s="151">
        <v>2024081500001</v>
      </c>
      <c r="E18" s="339" t="s">
        <v>1313</v>
      </c>
      <c r="F18" s="167" t="s">
        <v>1314</v>
      </c>
      <c r="G18" s="167" t="s">
        <v>1315</v>
      </c>
      <c r="H18" s="113" t="s">
        <v>1305</v>
      </c>
      <c r="I18" s="133" t="s">
        <v>1316</v>
      </c>
      <c r="J18" s="39" t="s">
        <v>1317</v>
      </c>
      <c r="K18" s="21">
        <v>3</v>
      </c>
      <c r="L18" s="134">
        <v>864</v>
      </c>
    </row>
    <row r="19" spans="1:14" s="10" customFormat="1" ht="100.05" customHeight="1" x14ac:dyDescent="0.25">
      <c r="A19" s="337">
        <v>5</v>
      </c>
      <c r="B19" s="203">
        <v>1</v>
      </c>
      <c r="C19" s="113">
        <v>45518</v>
      </c>
      <c r="D19" s="151">
        <v>2024081500004</v>
      </c>
      <c r="E19" s="339" t="s">
        <v>1318</v>
      </c>
      <c r="F19" s="167" t="s">
        <v>1319</v>
      </c>
      <c r="G19" s="167" t="s">
        <v>1322</v>
      </c>
      <c r="H19" s="113" t="s">
        <v>1320</v>
      </c>
      <c r="I19" s="133" t="s">
        <v>1321</v>
      </c>
      <c r="J19" s="39" t="s">
        <v>1310</v>
      </c>
      <c r="K19" s="21">
        <v>1</v>
      </c>
      <c r="L19" s="134">
        <v>2205</v>
      </c>
    </row>
    <row r="20" spans="1:14" s="10" customFormat="1" ht="49.95" customHeight="1" x14ac:dyDescent="0.25">
      <c r="A20" s="453">
        <v>6</v>
      </c>
      <c r="B20" s="481">
        <v>1</v>
      </c>
      <c r="C20" s="382">
        <v>45519</v>
      </c>
      <c r="D20" s="380">
        <v>2024082100001</v>
      </c>
      <c r="E20" s="482" t="s">
        <v>1323</v>
      </c>
      <c r="F20" s="401" t="s">
        <v>1324</v>
      </c>
      <c r="G20" s="401" t="s">
        <v>1325</v>
      </c>
      <c r="H20" s="382" t="s">
        <v>1326</v>
      </c>
      <c r="I20" s="133" t="s">
        <v>598</v>
      </c>
      <c r="J20" s="39" t="s">
        <v>595</v>
      </c>
      <c r="K20" s="21">
        <v>1</v>
      </c>
      <c r="L20" s="134">
        <v>11983</v>
      </c>
    </row>
    <row r="21" spans="1:14" s="10" customFormat="1" ht="49.95" customHeight="1" x14ac:dyDescent="0.25">
      <c r="A21" s="453"/>
      <c r="B21" s="481"/>
      <c r="C21" s="382"/>
      <c r="D21" s="380"/>
      <c r="E21" s="482"/>
      <c r="F21" s="401"/>
      <c r="G21" s="401"/>
      <c r="H21" s="382"/>
      <c r="I21" s="133" t="s">
        <v>599</v>
      </c>
      <c r="J21" s="39" t="s">
        <v>597</v>
      </c>
      <c r="K21" s="21">
        <v>1</v>
      </c>
      <c r="L21" s="134">
        <v>913</v>
      </c>
    </row>
    <row r="22" spans="1:14" s="10" customFormat="1" ht="49.95" customHeight="1" x14ac:dyDescent="0.25">
      <c r="A22" s="452">
        <v>7</v>
      </c>
      <c r="B22" s="381">
        <v>1</v>
      </c>
      <c r="C22" s="382">
        <v>45530</v>
      </c>
      <c r="D22" s="380">
        <v>2024082800005</v>
      </c>
      <c r="E22" s="379" t="s">
        <v>1342</v>
      </c>
      <c r="F22" s="482" t="s">
        <v>1343</v>
      </c>
      <c r="G22" s="383" t="s">
        <v>1344</v>
      </c>
      <c r="H22" s="382">
        <v>45532</v>
      </c>
      <c r="I22" s="133" t="s">
        <v>1333</v>
      </c>
      <c r="J22" s="39" t="s">
        <v>1339</v>
      </c>
      <c r="K22" s="21">
        <v>90</v>
      </c>
      <c r="L22" s="134">
        <v>5670</v>
      </c>
    </row>
    <row r="23" spans="1:14" s="10" customFormat="1" ht="49.95" customHeight="1" x14ac:dyDescent="0.25">
      <c r="A23" s="452"/>
      <c r="B23" s="381"/>
      <c r="C23" s="382"/>
      <c r="D23" s="380"/>
      <c r="E23" s="379"/>
      <c r="F23" s="482"/>
      <c r="G23" s="383"/>
      <c r="H23" s="382"/>
      <c r="I23" s="133" t="s">
        <v>1334</v>
      </c>
      <c r="J23" s="39" t="s">
        <v>1339</v>
      </c>
      <c r="K23" s="21">
        <v>5</v>
      </c>
      <c r="L23" s="134">
        <v>315</v>
      </c>
    </row>
    <row r="24" spans="1:14" s="10" customFormat="1" ht="49.95" customHeight="1" x14ac:dyDescent="0.25">
      <c r="A24" s="452"/>
      <c r="B24" s="381"/>
      <c r="C24" s="382"/>
      <c r="D24" s="380"/>
      <c r="E24" s="379"/>
      <c r="F24" s="482"/>
      <c r="G24" s="383"/>
      <c r="H24" s="382"/>
      <c r="I24" s="133" t="s">
        <v>1335</v>
      </c>
      <c r="J24" s="39" t="s">
        <v>595</v>
      </c>
      <c r="K24" s="21">
        <v>1</v>
      </c>
      <c r="L24" s="134">
        <v>11983</v>
      </c>
    </row>
    <row r="25" spans="1:14" s="10" customFormat="1" ht="49.95" customHeight="1" x14ac:dyDescent="0.25">
      <c r="A25" s="452"/>
      <c r="B25" s="381"/>
      <c r="C25" s="382"/>
      <c r="D25" s="380"/>
      <c r="E25" s="379"/>
      <c r="F25" s="482"/>
      <c r="G25" s="383"/>
      <c r="H25" s="382"/>
      <c r="I25" s="133" t="s">
        <v>1336</v>
      </c>
      <c r="J25" s="39" t="s">
        <v>597</v>
      </c>
      <c r="K25" s="21">
        <v>1</v>
      </c>
      <c r="L25" s="134">
        <v>913</v>
      </c>
    </row>
    <row r="26" spans="1:14" s="10" customFormat="1" ht="49.95" customHeight="1" x14ac:dyDescent="0.25">
      <c r="A26" s="452"/>
      <c r="B26" s="381"/>
      <c r="C26" s="382"/>
      <c r="D26" s="380"/>
      <c r="E26" s="379"/>
      <c r="F26" s="482"/>
      <c r="G26" s="383"/>
      <c r="H26" s="382"/>
      <c r="I26" s="133" t="s">
        <v>1337</v>
      </c>
      <c r="J26" s="39" t="s">
        <v>1340</v>
      </c>
      <c r="K26" s="21">
        <v>5</v>
      </c>
      <c r="L26" s="134">
        <v>2395</v>
      </c>
      <c r="N26" s="10" t="s">
        <v>1357</v>
      </c>
    </row>
    <row r="27" spans="1:14" s="10" customFormat="1" ht="49.95" customHeight="1" x14ac:dyDescent="0.25">
      <c r="A27" s="452"/>
      <c r="B27" s="381"/>
      <c r="C27" s="382"/>
      <c r="D27" s="380"/>
      <c r="E27" s="379"/>
      <c r="F27" s="482"/>
      <c r="G27" s="383"/>
      <c r="H27" s="382"/>
      <c r="I27" s="133" t="s">
        <v>1338</v>
      </c>
      <c r="J27" s="39" t="s">
        <v>1341</v>
      </c>
      <c r="K27" s="21">
        <v>2</v>
      </c>
      <c r="L27" s="134">
        <v>728</v>
      </c>
    </row>
    <row r="28" spans="1:14" s="10" customFormat="1" ht="49.95" customHeight="1" x14ac:dyDescent="0.25">
      <c r="A28" s="452"/>
      <c r="B28" s="381">
        <v>2</v>
      </c>
      <c r="C28" s="430">
        <v>45527</v>
      </c>
      <c r="D28" s="380">
        <v>2024082600004</v>
      </c>
      <c r="E28" s="379" t="s">
        <v>1331</v>
      </c>
      <c r="F28" s="482" t="s">
        <v>1332</v>
      </c>
      <c r="G28" s="383" t="s">
        <v>1329</v>
      </c>
      <c r="H28" s="382" t="s">
        <v>1330</v>
      </c>
      <c r="I28" s="133" t="s">
        <v>1333</v>
      </c>
      <c r="J28" s="39" t="s">
        <v>1339</v>
      </c>
      <c r="K28" s="21">
        <v>90</v>
      </c>
      <c r="L28" s="134">
        <v>5670</v>
      </c>
    </row>
    <row r="29" spans="1:14" s="10" customFormat="1" ht="49.95" customHeight="1" x14ac:dyDescent="0.25">
      <c r="A29" s="452"/>
      <c r="B29" s="381"/>
      <c r="C29" s="430"/>
      <c r="D29" s="380"/>
      <c r="E29" s="379"/>
      <c r="F29" s="482"/>
      <c r="G29" s="383"/>
      <c r="H29" s="382"/>
      <c r="I29" s="133" t="s">
        <v>1334</v>
      </c>
      <c r="J29" s="39" t="s">
        <v>1339</v>
      </c>
      <c r="K29" s="21">
        <v>5</v>
      </c>
      <c r="L29" s="134">
        <v>315</v>
      </c>
    </row>
    <row r="30" spans="1:14" s="10" customFormat="1" ht="49.95" customHeight="1" x14ac:dyDescent="0.25">
      <c r="A30" s="452"/>
      <c r="B30" s="381"/>
      <c r="C30" s="430"/>
      <c r="D30" s="380"/>
      <c r="E30" s="379"/>
      <c r="F30" s="482"/>
      <c r="G30" s="383"/>
      <c r="H30" s="382"/>
      <c r="I30" s="133" t="s">
        <v>1335</v>
      </c>
      <c r="J30" s="39" t="s">
        <v>595</v>
      </c>
      <c r="K30" s="21">
        <v>1</v>
      </c>
      <c r="L30" s="134">
        <v>11983</v>
      </c>
    </row>
    <row r="31" spans="1:14" s="10" customFormat="1" ht="49.95" customHeight="1" x14ac:dyDescent="0.25">
      <c r="A31" s="452"/>
      <c r="B31" s="381"/>
      <c r="C31" s="430"/>
      <c r="D31" s="380"/>
      <c r="E31" s="379"/>
      <c r="F31" s="482"/>
      <c r="G31" s="383"/>
      <c r="H31" s="382"/>
      <c r="I31" s="133" t="s">
        <v>1336</v>
      </c>
      <c r="J31" s="39" t="s">
        <v>597</v>
      </c>
      <c r="K31" s="21">
        <v>1</v>
      </c>
      <c r="L31" s="134">
        <v>913</v>
      </c>
    </row>
    <row r="32" spans="1:14" s="10" customFormat="1" ht="49.95" customHeight="1" x14ac:dyDescent="0.25">
      <c r="A32" s="452"/>
      <c r="B32" s="381"/>
      <c r="C32" s="430"/>
      <c r="D32" s="380"/>
      <c r="E32" s="379"/>
      <c r="F32" s="482"/>
      <c r="G32" s="383"/>
      <c r="H32" s="382"/>
      <c r="I32" s="133" t="s">
        <v>1337</v>
      </c>
      <c r="J32" s="39" t="s">
        <v>1340</v>
      </c>
      <c r="K32" s="21">
        <v>5</v>
      </c>
      <c r="L32" s="134">
        <v>2395</v>
      </c>
    </row>
    <row r="33" spans="1:12" s="10" customFormat="1" ht="49.95" customHeight="1" x14ac:dyDescent="0.25">
      <c r="A33" s="452"/>
      <c r="B33" s="381"/>
      <c r="C33" s="430"/>
      <c r="D33" s="380"/>
      <c r="E33" s="379"/>
      <c r="F33" s="482"/>
      <c r="G33" s="383"/>
      <c r="H33" s="382"/>
      <c r="I33" s="133" t="s">
        <v>1338</v>
      </c>
      <c r="J33" s="39" t="s">
        <v>1341</v>
      </c>
      <c r="K33" s="21">
        <v>1</v>
      </c>
      <c r="L33" s="134">
        <v>364</v>
      </c>
    </row>
    <row r="34" spans="1:12" s="10" customFormat="1" ht="49.95" customHeight="1" x14ac:dyDescent="0.25">
      <c r="A34" s="452"/>
      <c r="B34" s="381">
        <v>3</v>
      </c>
      <c r="C34" s="430" t="s">
        <v>1347</v>
      </c>
      <c r="D34" s="380">
        <v>2024082800002</v>
      </c>
      <c r="E34" s="379" t="s">
        <v>1299</v>
      </c>
      <c r="F34" s="482" t="s">
        <v>1345</v>
      </c>
      <c r="G34" s="383" t="s">
        <v>1346</v>
      </c>
      <c r="H34" s="382" t="s">
        <v>1348</v>
      </c>
      <c r="I34" s="133" t="s">
        <v>1333</v>
      </c>
      <c r="J34" s="39" t="s">
        <v>1339</v>
      </c>
      <c r="K34" s="21">
        <v>90</v>
      </c>
      <c r="L34" s="134">
        <v>5670</v>
      </c>
    </row>
    <row r="35" spans="1:12" s="10" customFormat="1" ht="49.95" customHeight="1" x14ac:dyDescent="0.25">
      <c r="A35" s="452"/>
      <c r="B35" s="381"/>
      <c r="C35" s="430"/>
      <c r="D35" s="380"/>
      <c r="E35" s="379"/>
      <c r="F35" s="482"/>
      <c r="G35" s="383"/>
      <c r="H35" s="382"/>
      <c r="I35" s="133" t="s">
        <v>1334</v>
      </c>
      <c r="J35" s="39" t="s">
        <v>1339</v>
      </c>
      <c r="K35" s="21">
        <v>5</v>
      </c>
      <c r="L35" s="134">
        <v>315</v>
      </c>
    </row>
    <row r="36" spans="1:12" s="10" customFormat="1" ht="49.95" customHeight="1" x14ac:dyDescent="0.25">
      <c r="A36" s="452"/>
      <c r="B36" s="381"/>
      <c r="C36" s="430"/>
      <c r="D36" s="380"/>
      <c r="E36" s="379"/>
      <c r="F36" s="482"/>
      <c r="G36" s="383"/>
      <c r="H36" s="382"/>
      <c r="I36" s="133" t="s">
        <v>1354</v>
      </c>
      <c r="J36" s="39" t="s">
        <v>595</v>
      </c>
      <c r="K36" s="21">
        <v>1</v>
      </c>
      <c r="L36" s="134">
        <v>288</v>
      </c>
    </row>
    <row r="37" spans="1:12" s="10" customFormat="1" ht="49.95" customHeight="1" x14ac:dyDescent="0.25">
      <c r="A37" s="452"/>
      <c r="B37" s="381"/>
      <c r="C37" s="430"/>
      <c r="D37" s="380"/>
      <c r="E37" s="379"/>
      <c r="F37" s="482"/>
      <c r="G37" s="383"/>
      <c r="H37" s="382"/>
      <c r="I37" s="133" t="s">
        <v>1335</v>
      </c>
      <c r="J37" s="39" t="s">
        <v>595</v>
      </c>
      <c r="K37" s="21">
        <v>1</v>
      </c>
      <c r="L37" s="134">
        <v>11983</v>
      </c>
    </row>
    <row r="38" spans="1:12" s="10" customFormat="1" ht="49.95" customHeight="1" x14ac:dyDescent="0.25">
      <c r="A38" s="452"/>
      <c r="B38" s="381"/>
      <c r="C38" s="430"/>
      <c r="D38" s="380"/>
      <c r="E38" s="379"/>
      <c r="F38" s="482"/>
      <c r="G38" s="383"/>
      <c r="H38" s="382"/>
      <c r="I38" s="133" t="s">
        <v>1349</v>
      </c>
      <c r="J38" s="39" t="s">
        <v>597</v>
      </c>
      <c r="K38" s="21">
        <v>1</v>
      </c>
      <c r="L38" s="134">
        <v>913</v>
      </c>
    </row>
    <row r="39" spans="1:12" s="10" customFormat="1" ht="49.95" customHeight="1" x14ac:dyDescent="0.25">
      <c r="A39" s="452"/>
      <c r="B39" s="381"/>
      <c r="C39" s="430"/>
      <c r="D39" s="380"/>
      <c r="E39" s="379"/>
      <c r="F39" s="482"/>
      <c r="G39" s="383"/>
      <c r="H39" s="382"/>
      <c r="I39" s="133" t="s">
        <v>1350</v>
      </c>
      <c r="J39" s="39" t="s">
        <v>1351</v>
      </c>
      <c r="K39" s="21">
        <v>1</v>
      </c>
      <c r="L39" s="134">
        <v>1298</v>
      </c>
    </row>
    <row r="40" spans="1:12" s="10" customFormat="1" ht="49.95" customHeight="1" x14ac:dyDescent="0.25">
      <c r="A40" s="452"/>
      <c r="B40" s="381">
        <v>4</v>
      </c>
      <c r="C40" s="382">
        <v>45526</v>
      </c>
      <c r="D40" s="380">
        <v>2024082800001</v>
      </c>
      <c r="E40" s="379" t="s">
        <v>1299</v>
      </c>
      <c r="F40" s="401" t="s">
        <v>1327</v>
      </c>
      <c r="G40" s="401" t="s">
        <v>1328</v>
      </c>
      <c r="H40" s="382">
        <v>45527</v>
      </c>
      <c r="I40" s="133" t="s">
        <v>598</v>
      </c>
      <c r="J40" s="39" t="s">
        <v>595</v>
      </c>
      <c r="K40" s="21">
        <v>1</v>
      </c>
      <c r="L40" s="134">
        <v>11983</v>
      </c>
    </row>
    <row r="41" spans="1:12" s="10" customFormat="1" ht="49.95" customHeight="1" x14ac:dyDescent="0.25">
      <c r="A41" s="452"/>
      <c r="B41" s="381"/>
      <c r="C41" s="382"/>
      <c r="D41" s="380"/>
      <c r="E41" s="379"/>
      <c r="F41" s="401"/>
      <c r="G41" s="401"/>
      <c r="H41" s="382"/>
      <c r="I41" s="133" t="s">
        <v>599</v>
      </c>
      <c r="J41" s="39" t="s">
        <v>597</v>
      </c>
      <c r="K41" s="21">
        <v>1</v>
      </c>
      <c r="L41" s="134">
        <v>913</v>
      </c>
    </row>
    <row r="42" spans="1:12" s="10" customFormat="1" ht="40.049999999999997" customHeight="1" x14ac:dyDescent="0.25">
      <c r="A42" s="452">
        <v>7</v>
      </c>
      <c r="B42" s="381" t="s">
        <v>1353</v>
      </c>
      <c r="C42" s="381"/>
      <c r="D42" s="381"/>
      <c r="E42" s="381"/>
      <c r="F42" s="381"/>
      <c r="G42" s="381"/>
      <c r="H42" s="381"/>
      <c r="I42" s="133" t="s">
        <v>1333</v>
      </c>
      <c r="J42" s="39" t="s">
        <v>1339</v>
      </c>
      <c r="K42" s="21">
        <v>270</v>
      </c>
      <c r="L42" s="134">
        <v>17010</v>
      </c>
    </row>
    <row r="43" spans="1:12" s="10" customFormat="1" ht="40.049999999999997" customHeight="1" x14ac:dyDescent="0.25">
      <c r="A43" s="452"/>
      <c r="B43" s="381"/>
      <c r="C43" s="381"/>
      <c r="D43" s="381"/>
      <c r="E43" s="381"/>
      <c r="F43" s="381"/>
      <c r="G43" s="381"/>
      <c r="H43" s="381"/>
      <c r="I43" s="133" t="s">
        <v>1334</v>
      </c>
      <c r="J43" s="39" t="s">
        <v>1339</v>
      </c>
      <c r="K43" s="21">
        <v>15</v>
      </c>
      <c r="L43" s="134">
        <v>945</v>
      </c>
    </row>
    <row r="44" spans="1:12" s="10" customFormat="1" ht="40.049999999999997" customHeight="1" x14ac:dyDescent="0.25">
      <c r="A44" s="452"/>
      <c r="B44" s="381"/>
      <c r="C44" s="381"/>
      <c r="D44" s="381"/>
      <c r="E44" s="381"/>
      <c r="F44" s="381"/>
      <c r="G44" s="381"/>
      <c r="H44" s="381"/>
      <c r="I44" s="133" t="s">
        <v>1316</v>
      </c>
      <c r="J44" s="39" t="s">
        <v>595</v>
      </c>
      <c r="K44" s="21">
        <v>1</v>
      </c>
      <c r="L44" s="134">
        <v>288</v>
      </c>
    </row>
    <row r="45" spans="1:12" s="10" customFormat="1" ht="40.049999999999997" customHeight="1" x14ac:dyDescent="0.25">
      <c r="A45" s="452"/>
      <c r="B45" s="381"/>
      <c r="C45" s="381"/>
      <c r="D45" s="381"/>
      <c r="E45" s="381"/>
      <c r="F45" s="381"/>
      <c r="G45" s="381"/>
      <c r="H45" s="381"/>
      <c r="I45" s="133" t="s">
        <v>1335</v>
      </c>
      <c r="J45" s="39" t="s">
        <v>595</v>
      </c>
      <c r="K45" s="21">
        <v>4</v>
      </c>
      <c r="L45" s="134">
        <v>47932</v>
      </c>
    </row>
    <row r="46" spans="1:12" s="10" customFormat="1" ht="40.049999999999997" customHeight="1" x14ac:dyDescent="0.25">
      <c r="A46" s="452"/>
      <c r="B46" s="381"/>
      <c r="C46" s="381"/>
      <c r="D46" s="381"/>
      <c r="E46" s="381"/>
      <c r="F46" s="381"/>
      <c r="G46" s="381"/>
      <c r="H46" s="381"/>
      <c r="I46" s="133" t="s">
        <v>1336</v>
      </c>
      <c r="J46" s="39" t="s">
        <v>597</v>
      </c>
      <c r="K46" s="21">
        <v>4</v>
      </c>
      <c r="L46" s="134">
        <v>3652</v>
      </c>
    </row>
    <row r="47" spans="1:12" s="10" customFormat="1" ht="40.049999999999997" customHeight="1" x14ac:dyDescent="0.25">
      <c r="A47" s="452"/>
      <c r="B47" s="381"/>
      <c r="C47" s="381"/>
      <c r="D47" s="381"/>
      <c r="E47" s="381"/>
      <c r="F47" s="381"/>
      <c r="G47" s="381"/>
      <c r="H47" s="381"/>
      <c r="I47" s="133" t="s">
        <v>1337</v>
      </c>
      <c r="J47" s="39" t="s">
        <v>1340</v>
      </c>
      <c r="K47" s="21">
        <v>10</v>
      </c>
      <c r="L47" s="134">
        <v>4790</v>
      </c>
    </row>
    <row r="48" spans="1:12" s="10" customFormat="1" ht="40.049999999999997" customHeight="1" x14ac:dyDescent="0.25">
      <c r="A48" s="452"/>
      <c r="B48" s="381"/>
      <c r="C48" s="381"/>
      <c r="D48" s="381"/>
      <c r="E48" s="381"/>
      <c r="F48" s="381"/>
      <c r="G48" s="381"/>
      <c r="H48" s="381"/>
      <c r="I48" s="133" t="s">
        <v>1350</v>
      </c>
      <c r="J48" s="39" t="s">
        <v>1351</v>
      </c>
      <c r="K48" s="21">
        <v>1</v>
      </c>
      <c r="L48" s="134">
        <v>1298</v>
      </c>
    </row>
    <row r="49" spans="1:12" s="10" customFormat="1" ht="40.049999999999997" customHeight="1" x14ac:dyDescent="0.25">
      <c r="A49" s="452"/>
      <c r="B49" s="381"/>
      <c r="C49" s="381"/>
      <c r="D49" s="381"/>
      <c r="E49" s="381"/>
      <c r="F49" s="381"/>
      <c r="G49" s="381"/>
      <c r="H49" s="381"/>
      <c r="I49" s="133" t="s">
        <v>1338</v>
      </c>
      <c r="J49" s="39" t="s">
        <v>1341</v>
      </c>
      <c r="K49" s="21">
        <v>3</v>
      </c>
      <c r="L49" s="134">
        <v>1092</v>
      </c>
    </row>
    <row r="50" spans="1:12" s="10" customFormat="1" ht="40.049999999999997" customHeight="1" x14ac:dyDescent="0.25">
      <c r="A50" s="452"/>
      <c r="B50" s="381"/>
      <c r="C50" s="381"/>
      <c r="D50" s="381"/>
      <c r="E50" s="381"/>
      <c r="F50" s="381"/>
      <c r="G50" s="381"/>
      <c r="H50" s="381"/>
      <c r="I50" s="478" t="s">
        <v>1356</v>
      </c>
      <c r="J50" s="478"/>
      <c r="K50" s="478"/>
      <c r="L50" s="134">
        <v>77007</v>
      </c>
    </row>
    <row r="51" spans="1:12" s="10" customFormat="1" ht="120" customHeight="1" thickBot="1" x14ac:dyDescent="0.3">
      <c r="A51" s="341"/>
      <c r="B51" s="335"/>
      <c r="C51" s="335"/>
      <c r="D51" s="335"/>
      <c r="E51" s="335"/>
      <c r="F51" s="335"/>
      <c r="G51" s="335"/>
      <c r="H51" s="336"/>
      <c r="I51" s="402" t="s">
        <v>805</v>
      </c>
      <c r="J51" s="403"/>
      <c r="K51" s="404"/>
      <c r="L51" s="285">
        <f>SUM(L12+L13+L14+L15+L16+L17+L18+L19+L20+L21+L2+L50)</f>
        <v>147940</v>
      </c>
    </row>
    <row r="52" spans="1:12" ht="26.4" customHeight="1" x14ac:dyDescent="0.25"/>
  </sheetData>
  <autoFilter ref="A3:L51" xr:uid="{00000000-0009-0000-0000-000003000000}"/>
  <mergeCells count="84">
    <mergeCell ref="A22:A41"/>
    <mergeCell ref="A42:A50"/>
    <mergeCell ref="G34:G39"/>
    <mergeCell ref="H34:H39"/>
    <mergeCell ref="B42:H50"/>
    <mergeCell ref="B34:B39"/>
    <mergeCell ref="C34:C39"/>
    <mergeCell ref="D34:D39"/>
    <mergeCell ref="E34:E39"/>
    <mergeCell ref="F28:F33"/>
    <mergeCell ref="G28:G33"/>
    <mergeCell ref="H28:H33"/>
    <mergeCell ref="B22:B27"/>
    <mergeCell ref="C22:C27"/>
    <mergeCell ref="D22:D27"/>
    <mergeCell ref="F34:F39"/>
    <mergeCell ref="A1:L1"/>
    <mergeCell ref="A2:F2"/>
    <mergeCell ref="G2:L2"/>
    <mergeCell ref="B4:B5"/>
    <mergeCell ref="C4:C5"/>
    <mergeCell ref="D4:D5"/>
    <mergeCell ref="E4:E5"/>
    <mergeCell ref="F4:F5"/>
    <mergeCell ref="G4:G5"/>
    <mergeCell ref="H4:H5"/>
    <mergeCell ref="A4:A12"/>
    <mergeCell ref="B10:H12"/>
    <mergeCell ref="I12:K12"/>
    <mergeCell ref="C8:C9"/>
    <mergeCell ref="B8:B9"/>
    <mergeCell ref="D8:D9"/>
    <mergeCell ref="E8:E9"/>
    <mergeCell ref="F8:F9"/>
    <mergeCell ref="G8:G9"/>
    <mergeCell ref="H8:H9"/>
    <mergeCell ref="F15:F17"/>
    <mergeCell ref="G15:G17"/>
    <mergeCell ref="H15:H17"/>
    <mergeCell ref="E15:E17"/>
    <mergeCell ref="E13:E14"/>
    <mergeCell ref="F13:F14"/>
    <mergeCell ref="G13:G14"/>
    <mergeCell ref="H13:H14"/>
    <mergeCell ref="A13:A14"/>
    <mergeCell ref="B13:B14"/>
    <mergeCell ref="C13:C14"/>
    <mergeCell ref="D13:D14"/>
    <mergeCell ref="A15:A17"/>
    <mergeCell ref="B15:B17"/>
    <mergeCell ref="C15:C17"/>
    <mergeCell ref="D15:D17"/>
    <mergeCell ref="D40:D41"/>
    <mergeCell ref="I51:K51"/>
    <mergeCell ref="A20:A21"/>
    <mergeCell ref="B20:B21"/>
    <mergeCell ref="C20:C21"/>
    <mergeCell ref="D20:D21"/>
    <mergeCell ref="E20:E21"/>
    <mergeCell ref="E22:E27"/>
    <mergeCell ref="F22:F27"/>
    <mergeCell ref="G22:G27"/>
    <mergeCell ref="H22:H27"/>
    <mergeCell ref="B28:B33"/>
    <mergeCell ref="C28:C33"/>
    <mergeCell ref="D28:D33"/>
    <mergeCell ref="E28:E33"/>
    <mergeCell ref="I50:K50"/>
    <mergeCell ref="E40:E41"/>
    <mergeCell ref="C6:C7"/>
    <mergeCell ref="B6:B7"/>
    <mergeCell ref="G20:G21"/>
    <mergeCell ref="H20:H21"/>
    <mergeCell ref="F40:F41"/>
    <mergeCell ref="G40:G41"/>
    <mergeCell ref="H40:H41"/>
    <mergeCell ref="F20:F21"/>
    <mergeCell ref="D6:D7"/>
    <mergeCell ref="E6:E7"/>
    <mergeCell ref="F6:F7"/>
    <mergeCell ref="G6:G7"/>
    <mergeCell ref="H6:H7"/>
    <mergeCell ref="B40:B41"/>
    <mergeCell ref="C40:C41"/>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rowBreaks count="1" manualBreakCount="1">
    <brk id="21" max="1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L23"/>
  <sheetViews>
    <sheetView view="pageBreakPreview" zoomScale="50" zoomScaleNormal="40" zoomScaleSheetLayoutView="50" workbookViewId="0">
      <pane ySplit="1" topLeftCell="A11" activePane="bottomLeft" state="frozen"/>
      <selection pane="bottomLeft" activeCell="G8" sqref="G8:G14"/>
    </sheetView>
  </sheetViews>
  <sheetFormatPr defaultColWidth="14.44140625" defaultRowHeight="15.75" customHeight="1" x14ac:dyDescent="0.25"/>
  <cols>
    <col min="1" max="1" width="8.33203125" customWidth="1"/>
    <col min="2" max="2" width="9.1093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83" t="s">
        <v>12</v>
      </c>
      <c r="B2" s="484"/>
      <c r="C2" s="484"/>
      <c r="D2" s="484"/>
      <c r="E2" s="484"/>
      <c r="F2" s="484"/>
      <c r="G2" s="485" t="s">
        <v>1262</v>
      </c>
      <c r="H2" s="485"/>
      <c r="I2" s="485"/>
      <c r="J2" s="485"/>
      <c r="K2" s="485"/>
      <c r="L2" s="486"/>
    </row>
    <row r="3" spans="1:12" s="10" customFormat="1" ht="50.1" customHeight="1" x14ac:dyDescent="0.25">
      <c r="A3" s="159" t="s">
        <v>23</v>
      </c>
      <c r="B3" s="228" t="s">
        <v>653</v>
      </c>
      <c r="C3" s="160" t="s">
        <v>224</v>
      </c>
      <c r="D3" s="161" t="s">
        <v>22</v>
      </c>
      <c r="E3" s="162" t="s">
        <v>0</v>
      </c>
      <c r="F3" s="162" t="s">
        <v>2</v>
      </c>
      <c r="G3" s="162" t="s">
        <v>19</v>
      </c>
      <c r="H3" s="160" t="s">
        <v>1</v>
      </c>
      <c r="I3" s="160" t="s">
        <v>15</v>
      </c>
      <c r="J3" s="160" t="s">
        <v>592</v>
      </c>
      <c r="K3" s="160" t="s">
        <v>591</v>
      </c>
      <c r="L3" s="163" t="s">
        <v>804</v>
      </c>
    </row>
    <row r="4" spans="1:12" s="347" customFormat="1" ht="49.95" customHeight="1" x14ac:dyDescent="0.25">
      <c r="A4" s="436">
        <v>1</v>
      </c>
      <c r="B4" s="487"/>
      <c r="C4" s="412">
        <v>45474</v>
      </c>
      <c r="D4" s="414">
        <v>2024070200003</v>
      </c>
      <c r="E4" s="465" t="s">
        <v>386</v>
      </c>
      <c r="F4" s="491" t="s">
        <v>1269</v>
      </c>
      <c r="G4" s="494" t="s">
        <v>1270</v>
      </c>
      <c r="H4" s="412">
        <v>45476</v>
      </c>
      <c r="I4" s="83" t="s">
        <v>1263</v>
      </c>
      <c r="J4" s="39" t="s">
        <v>704</v>
      </c>
      <c r="K4" s="21">
        <v>75</v>
      </c>
      <c r="L4" s="41">
        <v>4725</v>
      </c>
    </row>
    <row r="5" spans="1:12" s="347" customFormat="1" ht="49.95" customHeight="1" x14ac:dyDescent="0.25">
      <c r="A5" s="437"/>
      <c r="B5" s="488"/>
      <c r="C5" s="418"/>
      <c r="D5" s="419"/>
      <c r="E5" s="490"/>
      <c r="F5" s="492"/>
      <c r="G5" s="495"/>
      <c r="H5" s="418"/>
      <c r="I5" s="83" t="s">
        <v>1264</v>
      </c>
      <c r="J5" s="39" t="s">
        <v>1267</v>
      </c>
      <c r="K5" s="21">
        <v>75</v>
      </c>
      <c r="L5" s="41">
        <v>4725</v>
      </c>
    </row>
    <row r="6" spans="1:12" s="347" customFormat="1" ht="49.95" customHeight="1" x14ac:dyDescent="0.25">
      <c r="A6" s="437"/>
      <c r="B6" s="488"/>
      <c r="C6" s="418"/>
      <c r="D6" s="419"/>
      <c r="E6" s="490"/>
      <c r="F6" s="492"/>
      <c r="G6" s="495"/>
      <c r="H6" s="418"/>
      <c r="I6" s="83" t="s">
        <v>1265</v>
      </c>
      <c r="J6" s="39" t="s">
        <v>1268</v>
      </c>
      <c r="K6" s="21">
        <v>24</v>
      </c>
      <c r="L6" s="41">
        <v>912</v>
      </c>
    </row>
    <row r="7" spans="1:12" s="347" customFormat="1" ht="49.95" customHeight="1" x14ac:dyDescent="0.25">
      <c r="A7" s="438"/>
      <c r="B7" s="489"/>
      <c r="C7" s="413"/>
      <c r="D7" s="415"/>
      <c r="E7" s="466"/>
      <c r="F7" s="493"/>
      <c r="G7" s="496"/>
      <c r="H7" s="413"/>
      <c r="I7" s="83" t="s">
        <v>1204</v>
      </c>
      <c r="J7" s="39" t="s">
        <v>600</v>
      </c>
      <c r="K7" s="21">
        <v>1</v>
      </c>
      <c r="L7" s="41">
        <v>240</v>
      </c>
    </row>
    <row r="8" spans="1:12" s="10" customFormat="1" ht="45" customHeight="1" x14ac:dyDescent="0.25">
      <c r="A8" s="452">
        <v>2</v>
      </c>
      <c r="B8" s="479"/>
      <c r="C8" s="382">
        <v>45474</v>
      </c>
      <c r="D8" s="497">
        <v>2024070300001</v>
      </c>
      <c r="E8" s="463" t="s">
        <v>454</v>
      </c>
      <c r="F8" s="469" t="s">
        <v>1275</v>
      </c>
      <c r="G8" s="469" t="s">
        <v>1276</v>
      </c>
      <c r="H8" s="382">
        <v>45476</v>
      </c>
      <c r="I8" s="83" t="s">
        <v>1263</v>
      </c>
      <c r="J8" s="39" t="s">
        <v>704</v>
      </c>
      <c r="K8" s="21">
        <v>110</v>
      </c>
      <c r="L8" s="134">
        <v>6930</v>
      </c>
    </row>
    <row r="9" spans="1:12" s="10" customFormat="1" ht="45" customHeight="1" x14ac:dyDescent="0.25">
      <c r="A9" s="452"/>
      <c r="B9" s="479"/>
      <c r="C9" s="382"/>
      <c r="D9" s="498"/>
      <c r="E9" s="475"/>
      <c r="F9" s="474"/>
      <c r="G9" s="474"/>
      <c r="H9" s="382"/>
      <c r="I9" s="83" t="s">
        <v>1264</v>
      </c>
      <c r="J9" s="39" t="s">
        <v>1267</v>
      </c>
      <c r="K9" s="21">
        <v>20</v>
      </c>
      <c r="L9" s="134">
        <v>1260</v>
      </c>
    </row>
    <row r="10" spans="1:12" s="10" customFormat="1" ht="45" customHeight="1" x14ac:dyDescent="0.25">
      <c r="A10" s="452"/>
      <c r="B10" s="479"/>
      <c r="C10" s="382"/>
      <c r="D10" s="498"/>
      <c r="E10" s="475"/>
      <c r="F10" s="474"/>
      <c r="G10" s="474"/>
      <c r="H10" s="382"/>
      <c r="I10" s="83" t="s">
        <v>598</v>
      </c>
      <c r="J10" s="39" t="s">
        <v>1274</v>
      </c>
      <c r="K10" s="21">
        <v>1</v>
      </c>
      <c r="L10" s="134">
        <v>11983</v>
      </c>
    </row>
    <row r="11" spans="1:12" s="10" customFormat="1" ht="45" customHeight="1" x14ac:dyDescent="0.25">
      <c r="A11" s="452"/>
      <c r="B11" s="479"/>
      <c r="C11" s="382"/>
      <c r="D11" s="498"/>
      <c r="E11" s="475"/>
      <c r="F11" s="474"/>
      <c r="G11" s="474"/>
      <c r="H11" s="382"/>
      <c r="I11" s="83" t="s">
        <v>1271</v>
      </c>
      <c r="J11" s="39" t="s">
        <v>1047</v>
      </c>
      <c r="K11" s="21">
        <v>1</v>
      </c>
      <c r="L11" s="134">
        <v>913</v>
      </c>
    </row>
    <row r="12" spans="1:12" s="10" customFormat="1" ht="45" customHeight="1" x14ac:dyDescent="0.25">
      <c r="A12" s="452"/>
      <c r="B12" s="479"/>
      <c r="C12" s="382"/>
      <c r="D12" s="498"/>
      <c r="E12" s="475"/>
      <c r="F12" s="474"/>
      <c r="G12" s="474"/>
      <c r="H12" s="382"/>
      <c r="I12" s="83" t="s">
        <v>1272</v>
      </c>
      <c r="J12" s="39" t="s">
        <v>637</v>
      </c>
      <c r="K12" s="21">
        <v>1</v>
      </c>
      <c r="L12" s="134">
        <v>1342</v>
      </c>
    </row>
    <row r="13" spans="1:12" s="10" customFormat="1" ht="45" customHeight="1" x14ac:dyDescent="0.25">
      <c r="A13" s="452"/>
      <c r="B13" s="479"/>
      <c r="C13" s="382"/>
      <c r="D13" s="498"/>
      <c r="E13" s="475"/>
      <c r="F13" s="474"/>
      <c r="G13" s="474"/>
      <c r="H13" s="382"/>
      <c r="I13" s="83" t="s">
        <v>1204</v>
      </c>
      <c r="J13" s="39" t="s">
        <v>637</v>
      </c>
      <c r="K13" s="21">
        <v>1</v>
      </c>
      <c r="L13" s="134">
        <v>240</v>
      </c>
    </row>
    <row r="14" spans="1:12" s="10" customFormat="1" ht="45" customHeight="1" x14ac:dyDescent="0.25">
      <c r="A14" s="452"/>
      <c r="B14" s="479"/>
      <c r="C14" s="382"/>
      <c r="D14" s="499"/>
      <c r="E14" s="464"/>
      <c r="F14" s="470"/>
      <c r="G14" s="470"/>
      <c r="H14" s="382"/>
      <c r="I14" s="83" t="s">
        <v>1273</v>
      </c>
      <c r="J14" s="39" t="s">
        <v>941</v>
      </c>
      <c r="K14" s="21">
        <v>1</v>
      </c>
      <c r="L14" s="134">
        <v>685</v>
      </c>
    </row>
    <row r="15" spans="1:12" s="10" customFormat="1" ht="49.95" customHeight="1" x14ac:dyDescent="0.25">
      <c r="A15" s="481">
        <v>3</v>
      </c>
      <c r="B15" s="203"/>
      <c r="C15" s="412">
        <v>45476</v>
      </c>
      <c r="D15" s="497">
        <v>2024070500004</v>
      </c>
      <c r="E15" s="463" t="s">
        <v>386</v>
      </c>
      <c r="F15" s="469" t="s">
        <v>1279</v>
      </c>
      <c r="G15" s="469" t="s">
        <v>1280</v>
      </c>
      <c r="H15" s="412">
        <v>45477</v>
      </c>
      <c r="I15" s="83" t="s">
        <v>1277</v>
      </c>
      <c r="J15" s="39" t="s">
        <v>1266</v>
      </c>
      <c r="K15" s="21">
        <v>2</v>
      </c>
      <c r="L15" s="134">
        <v>126</v>
      </c>
    </row>
    <row r="16" spans="1:12" s="10" customFormat="1" ht="49.95" customHeight="1" x14ac:dyDescent="0.25">
      <c r="A16" s="481"/>
      <c r="B16" s="203"/>
      <c r="C16" s="418"/>
      <c r="D16" s="498"/>
      <c r="E16" s="475"/>
      <c r="F16" s="474"/>
      <c r="G16" s="474"/>
      <c r="H16" s="418"/>
      <c r="I16" s="83" t="s">
        <v>619</v>
      </c>
      <c r="J16" s="39" t="s">
        <v>1266</v>
      </c>
      <c r="K16" s="21">
        <v>2</v>
      </c>
      <c r="L16" s="134">
        <v>126</v>
      </c>
    </row>
    <row r="17" spans="1:12" s="10" customFormat="1" ht="49.95" customHeight="1" x14ac:dyDescent="0.25">
      <c r="A17" s="481"/>
      <c r="B17" s="203"/>
      <c r="C17" s="413"/>
      <c r="D17" s="499"/>
      <c r="E17" s="464"/>
      <c r="F17" s="470"/>
      <c r="G17" s="470"/>
      <c r="H17" s="413"/>
      <c r="I17" s="83" t="s">
        <v>1278</v>
      </c>
      <c r="J17" s="39" t="s">
        <v>1266</v>
      </c>
      <c r="K17" s="21">
        <v>2</v>
      </c>
      <c r="L17" s="134">
        <v>1200</v>
      </c>
    </row>
    <row r="18" spans="1:12" s="10" customFormat="1" ht="79.95" customHeight="1" x14ac:dyDescent="0.25">
      <c r="A18" s="350">
        <v>4</v>
      </c>
      <c r="B18" s="348"/>
      <c r="C18" s="296">
        <v>45476</v>
      </c>
      <c r="D18" s="351">
        <v>2024070500003</v>
      </c>
      <c r="E18" s="150" t="s">
        <v>386</v>
      </c>
      <c r="F18" s="149" t="s">
        <v>1282</v>
      </c>
      <c r="G18" s="149" t="s">
        <v>1283</v>
      </c>
      <c r="H18" s="296">
        <v>45477</v>
      </c>
      <c r="I18" s="352" t="s">
        <v>1281</v>
      </c>
      <c r="J18" s="299" t="s">
        <v>941</v>
      </c>
      <c r="K18" s="300">
        <v>1</v>
      </c>
      <c r="L18" s="134">
        <v>767</v>
      </c>
    </row>
    <row r="19" spans="1:12" s="10" customFormat="1" ht="60" customHeight="1" x14ac:dyDescent="0.25">
      <c r="A19" s="436">
        <v>5</v>
      </c>
      <c r="B19" s="203"/>
      <c r="C19" s="467">
        <v>45484</v>
      </c>
      <c r="D19" s="471">
        <v>2024071500002</v>
      </c>
      <c r="E19" s="463" t="s">
        <v>386</v>
      </c>
      <c r="F19" s="469" t="s">
        <v>1284</v>
      </c>
      <c r="G19" s="469" t="s">
        <v>1285</v>
      </c>
      <c r="H19" s="467">
        <v>45485</v>
      </c>
      <c r="I19" s="83" t="s">
        <v>1277</v>
      </c>
      <c r="J19" s="39" t="s">
        <v>1266</v>
      </c>
      <c r="K19" s="21">
        <v>4</v>
      </c>
      <c r="L19" s="134">
        <v>252</v>
      </c>
    </row>
    <row r="20" spans="1:12" s="10" customFormat="1" ht="60" customHeight="1" x14ac:dyDescent="0.25">
      <c r="A20" s="437"/>
      <c r="B20" s="203"/>
      <c r="C20" s="473"/>
      <c r="D20" s="476"/>
      <c r="E20" s="475"/>
      <c r="F20" s="474"/>
      <c r="G20" s="474"/>
      <c r="H20" s="473"/>
      <c r="I20" s="83" t="s">
        <v>619</v>
      </c>
      <c r="J20" s="39" t="s">
        <v>1266</v>
      </c>
      <c r="K20" s="21">
        <v>4</v>
      </c>
      <c r="L20" s="134">
        <v>252</v>
      </c>
    </row>
    <row r="21" spans="1:12" s="10" customFormat="1" ht="60" customHeight="1" x14ac:dyDescent="0.25">
      <c r="A21" s="438"/>
      <c r="B21" s="203"/>
      <c r="C21" s="468"/>
      <c r="D21" s="472"/>
      <c r="E21" s="464"/>
      <c r="F21" s="470"/>
      <c r="G21" s="470"/>
      <c r="H21" s="468"/>
      <c r="I21" s="83" t="s">
        <v>1278</v>
      </c>
      <c r="J21" s="39" t="s">
        <v>1266</v>
      </c>
      <c r="K21" s="21">
        <v>6</v>
      </c>
      <c r="L21" s="134">
        <v>3600</v>
      </c>
    </row>
    <row r="22" spans="1:12" s="10" customFormat="1" ht="60" customHeight="1" thickBot="1" x14ac:dyDescent="0.3">
      <c r="A22" s="341"/>
      <c r="B22" s="335"/>
      <c r="C22" s="335"/>
      <c r="D22" s="335"/>
      <c r="E22" s="335"/>
      <c r="F22" s="335"/>
      <c r="G22" s="335"/>
      <c r="H22" s="336"/>
      <c r="I22" s="402" t="s">
        <v>805</v>
      </c>
      <c r="J22" s="403"/>
      <c r="K22" s="404"/>
      <c r="L22" s="285">
        <f>SUM(L4:L21)</f>
        <v>40278</v>
      </c>
    </row>
    <row r="23" spans="1:12" ht="26.4" customHeight="1" x14ac:dyDescent="0.25"/>
  </sheetData>
  <autoFilter ref="A3:L22" xr:uid="{00000000-0009-0000-0000-000004000000}"/>
  <mergeCells count="34">
    <mergeCell ref="H8:H14"/>
    <mergeCell ref="F8:F14"/>
    <mergeCell ref="G8:G14"/>
    <mergeCell ref="I22:K22"/>
    <mergeCell ref="A15:A17"/>
    <mergeCell ref="C15:C17"/>
    <mergeCell ref="D15:D17"/>
    <mergeCell ref="E15:E17"/>
    <mergeCell ref="F15:F17"/>
    <mergeCell ref="G15:G17"/>
    <mergeCell ref="H19:H21"/>
    <mergeCell ref="H15:H17"/>
    <mergeCell ref="A19:A21"/>
    <mergeCell ref="C19:C21"/>
    <mergeCell ref="D19:D21"/>
    <mergeCell ref="E19:E21"/>
    <mergeCell ref="F19:F21"/>
    <mergeCell ref="G19:G21"/>
    <mergeCell ref="A8:A14"/>
    <mergeCell ref="B8:B14"/>
    <mergeCell ref="C8:C14"/>
    <mergeCell ref="D8:D14"/>
    <mergeCell ref="E8:E14"/>
    <mergeCell ref="A1:L1"/>
    <mergeCell ref="A2:F2"/>
    <mergeCell ref="G2:L2"/>
    <mergeCell ref="A4:A7"/>
    <mergeCell ref="B4:B7"/>
    <mergeCell ref="C4:C7"/>
    <mergeCell ref="D4:D7"/>
    <mergeCell ref="E4:E7"/>
    <mergeCell ref="F4:F7"/>
    <mergeCell ref="G4:G7"/>
    <mergeCell ref="H4:H7"/>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L12"/>
  <sheetViews>
    <sheetView view="pageBreakPreview" topLeftCell="F1" zoomScale="60" zoomScaleNormal="40" workbookViewId="0">
      <pane ySplit="1" topLeftCell="A2" activePane="bottomLeft" state="frozen"/>
      <selection pane="bottomLeft" activeCell="G7" sqref="G7:G8"/>
    </sheetView>
  </sheetViews>
  <sheetFormatPr defaultColWidth="14.44140625" defaultRowHeight="15.75" customHeight="1" x14ac:dyDescent="0.25"/>
  <cols>
    <col min="1" max="1" width="8.33203125" customWidth="1"/>
    <col min="2" max="2" width="9.109375" hidden="1"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83" t="s">
        <v>12</v>
      </c>
      <c r="B2" s="484"/>
      <c r="C2" s="484"/>
      <c r="D2" s="484"/>
      <c r="E2" s="484"/>
      <c r="F2" s="484"/>
      <c r="G2" s="485" t="s">
        <v>1252</v>
      </c>
      <c r="H2" s="485"/>
      <c r="I2" s="485"/>
      <c r="J2" s="485"/>
      <c r="K2" s="485"/>
      <c r="L2" s="486"/>
    </row>
    <row r="3" spans="1:12" s="10" customFormat="1" ht="50.1" customHeight="1" x14ac:dyDescent="0.25">
      <c r="A3" s="159" t="s">
        <v>23</v>
      </c>
      <c r="B3" s="228" t="s">
        <v>653</v>
      </c>
      <c r="C3" s="160" t="s">
        <v>224</v>
      </c>
      <c r="D3" s="161" t="s">
        <v>22</v>
      </c>
      <c r="E3" s="162" t="s">
        <v>0</v>
      </c>
      <c r="F3" s="162" t="s">
        <v>2</v>
      </c>
      <c r="G3" s="162" t="s">
        <v>19</v>
      </c>
      <c r="H3" s="160" t="s">
        <v>1</v>
      </c>
      <c r="I3" s="160" t="s">
        <v>15</v>
      </c>
      <c r="J3" s="160" t="s">
        <v>592</v>
      </c>
      <c r="K3" s="160" t="s">
        <v>591</v>
      </c>
      <c r="L3" s="163" t="s">
        <v>804</v>
      </c>
    </row>
    <row r="4" spans="1:12" s="347" customFormat="1" ht="40.950000000000003" customHeight="1" x14ac:dyDescent="0.25">
      <c r="A4" s="436">
        <v>1</v>
      </c>
      <c r="B4" s="487"/>
      <c r="C4" s="412">
        <v>45446</v>
      </c>
      <c r="D4" s="414">
        <v>2024053100001</v>
      </c>
      <c r="E4" s="465" t="s">
        <v>204</v>
      </c>
      <c r="F4" s="491" t="s">
        <v>1253</v>
      </c>
      <c r="G4" s="494" t="s">
        <v>1254</v>
      </c>
      <c r="H4" s="412">
        <v>45447</v>
      </c>
      <c r="I4" s="83" t="s">
        <v>617</v>
      </c>
      <c r="J4" s="39" t="s">
        <v>1256</v>
      </c>
      <c r="K4" s="21">
        <v>60</v>
      </c>
      <c r="L4" s="41">
        <v>3780</v>
      </c>
    </row>
    <row r="5" spans="1:12" s="347" customFormat="1" ht="40.950000000000003" customHeight="1" x14ac:dyDescent="0.25">
      <c r="A5" s="437"/>
      <c r="B5" s="488"/>
      <c r="C5" s="418"/>
      <c r="D5" s="419"/>
      <c r="E5" s="490"/>
      <c r="F5" s="492"/>
      <c r="G5" s="495"/>
      <c r="H5" s="418"/>
      <c r="I5" s="83" t="s">
        <v>1255</v>
      </c>
      <c r="J5" s="39" t="s">
        <v>704</v>
      </c>
      <c r="K5" s="21">
        <v>60</v>
      </c>
      <c r="L5" s="41">
        <v>3780</v>
      </c>
    </row>
    <row r="6" spans="1:12" s="347" customFormat="1" ht="40.950000000000003" customHeight="1" x14ac:dyDescent="0.25">
      <c r="A6" s="438"/>
      <c r="B6" s="489"/>
      <c r="C6" s="413"/>
      <c r="D6" s="415"/>
      <c r="E6" s="466"/>
      <c r="F6" s="493"/>
      <c r="G6" s="496"/>
      <c r="H6" s="413"/>
      <c r="I6" s="83" t="s">
        <v>839</v>
      </c>
      <c r="J6" s="39" t="s">
        <v>1257</v>
      </c>
      <c r="K6" s="21">
        <v>3</v>
      </c>
      <c r="L6" s="41">
        <v>864</v>
      </c>
    </row>
    <row r="7" spans="1:12" s="10" customFormat="1" ht="49.95" customHeight="1" x14ac:dyDescent="0.25">
      <c r="A7" s="452">
        <v>2</v>
      </c>
      <c r="B7" s="479"/>
      <c r="C7" s="382">
        <v>45446</v>
      </c>
      <c r="D7" s="414">
        <v>2024060300001</v>
      </c>
      <c r="E7" s="465" t="s">
        <v>1258</v>
      </c>
      <c r="F7" s="491" t="s">
        <v>1259</v>
      </c>
      <c r="G7" s="494" t="s">
        <v>1260</v>
      </c>
      <c r="H7" s="382">
        <v>45447</v>
      </c>
      <c r="I7" s="83" t="s">
        <v>617</v>
      </c>
      <c r="J7" s="39" t="s">
        <v>704</v>
      </c>
      <c r="K7" s="21">
        <v>16</v>
      </c>
      <c r="L7" s="134">
        <v>1008</v>
      </c>
    </row>
    <row r="8" spans="1:12" s="10" customFormat="1" ht="49.95" customHeight="1" x14ac:dyDescent="0.25">
      <c r="A8" s="452"/>
      <c r="B8" s="479"/>
      <c r="C8" s="382"/>
      <c r="D8" s="415"/>
      <c r="E8" s="466"/>
      <c r="F8" s="493"/>
      <c r="G8" s="496"/>
      <c r="H8" s="382"/>
      <c r="I8" s="83" t="s">
        <v>619</v>
      </c>
      <c r="J8" s="39" t="s">
        <v>704</v>
      </c>
      <c r="K8" s="21">
        <v>16</v>
      </c>
      <c r="L8" s="134">
        <v>1008</v>
      </c>
    </row>
    <row r="9" spans="1:12" s="10" customFormat="1" ht="49.95" customHeight="1" x14ac:dyDescent="0.25">
      <c r="A9" s="453">
        <v>3</v>
      </c>
      <c r="B9" s="481"/>
      <c r="C9" s="382">
        <v>45446</v>
      </c>
      <c r="D9" s="414">
        <v>2024061100002</v>
      </c>
      <c r="E9" s="463" t="s">
        <v>454</v>
      </c>
      <c r="F9" s="491" t="s">
        <v>831</v>
      </c>
      <c r="G9" s="401" t="s">
        <v>1261</v>
      </c>
      <c r="H9" s="382">
        <v>45448</v>
      </c>
      <c r="I9" s="133" t="s">
        <v>598</v>
      </c>
      <c r="J9" s="39" t="s">
        <v>595</v>
      </c>
      <c r="K9" s="21">
        <v>1</v>
      </c>
      <c r="L9" s="134">
        <v>11983</v>
      </c>
    </row>
    <row r="10" spans="1:12" s="10" customFormat="1" ht="49.95" customHeight="1" x14ac:dyDescent="0.25">
      <c r="A10" s="453"/>
      <c r="B10" s="481"/>
      <c r="C10" s="382"/>
      <c r="D10" s="415"/>
      <c r="E10" s="464"/>
      <c r="F10" s="493"/>
      <c r="G10" s="401"/>
      <c r="H10" s="382"/>
      <c r="I10" s="133" t="s">
        <v>599</v>
      </c>
      <c r="J10" s="39" t="s">
        <v>597</v>
      </c>
      <c r="K10" s="21">
        <v>1</v>
      </c>
      <c r="L10" s="134">
        <v>913</v>
      </c>
    </row>
    <row r="11" spans="1:12" s="10" customFormat="1" ht="120" customHeight="1" thickBot="1" x14ac:dyDescent="0.3">
      <c r="A11" s="341"/>
      <c r="B11" s="335"/>
      <c r="C11" s="335"/>
      <c r="D11" s="335"/>
      <c r="E11" s="335"/>
      <c r="F11" s="335"/>
      <c r="G11" s="335"/>
      <c r="H11" s="336"/>
      <c r="I11" s="402" t="s">
        <v>805</v>
      </c>
      <c r="J11" s="403"/>
      <c r="K11" s="404"/>
      <c r="L11" s="285">
        <f>SUM(L4:L10)</f>
        <v>23336</v>
      </c>
    </row>
    <row r="12" spans="1:12" ht="26.4" customHeight="1" x14ac:dyDescent="0.25"/>
  </sheetData>
  <autoFilter ref="A3:L11" xr:uid="{00000000-0009-0000-0000-000005000000}"/>
  <mergeCells count="28">
    <mergeCell ref="A1:L1"/>
    <mergeCell ref="A2:F2"/>
    <mergeCell ref="G2:L2"/>
    <mergeCell ref="D7:D8"/>
    <mergeCell ref="E7:E8"/>
    <mergeCell ref="F7:F8"/>
    <mergeCell ref="G7:G8"/>
    <mergeCell ref="A7:A8"/>
    <mergeCell ref="B7:B8"/>
    <mergeCell ref="C7:C8"/>
    <mergeCell ref="H7:H8"/>
    <mergeCell ref="C4:C6"/>
    <mergeCell ref="B4:B6"/>
    <mergeCell ref="A4:A6"/>
    <mergeCell ref="D4:D6"/>
    <mergeCell ref="A9:A10"/>
    <mergeCell ref="B9:B10"/>
    <mergeCell ref="C9:C10"/>
    <mergeCell ref="D9:D10"/>
    <mergeCell ref="E9:E10"/>
    <mergeCell ref="I11:K11"/>
    <mergeCell ref="H4:H6"/>
    <mergeCell ref="G4:G6"/>
    <mergeCell ref="F4:F6"/>
    <mergeCell ref="E4:E6"/>
    <mergeCell ref="F9:F10"/>
    <mergeCell ref="G9:G10"/>
    <mergeCell ref="H9:H10"/>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L32"/>
  <sheetViews>
    <sheetView view="pageBreakPreview" zoomScale="40" zoomScaleNormal="40" zoomScaleSheetLayoutView="40" workbookViewId="0">
      <pane ySplit="1" topLeftCell="A8" activePane="bottomLeft" state="frozen"/>
      <selection pane="bottomLeft" activeCell="I10" sqref="A10:XFD10"/>
    </sheetView>
  </sheetViews>
  <sheetFormatPr defaultColWidth="14.44140625" defaultRowHeight="15.75" customHeight="1" x14ac:dyDescent="0.25"/>
  <cols>
    <col min="1" max="1" width="8.33203125" customWidth="1"/>
    <col min="2" max="2" width="9.109375"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83" t="s">
        <v>12</v>
      </c>
      <c r="B2" s="484"/>
      <c r="C2" s="484"/>
      <c r="D2" s="484"/>
      <c r="E2" s="484"/>
      <c r="F2" s="484"/>
      <c r="G2" s="485" t="s">
        <v>1198</v>
      </c>
      <c r="H2" s="485"/>
      <c r="I2" s="485"/>
      <c r="J2" s="485"/>
      <c r="K2" s="485"/>
      <c r="L2" s="486"/>
    </row>
    <row r="3" spans="1:12" s="10" customFormat="1" ht="50.1" customHeight="1" x14ac:dyDescent="0.25">
      <c r="A3" s="159" t="s">
        <v>23</v>
      </c>
      <c r="B3" s="228" t="s">
        <v>653</v>
      </c>
      <c r="C3" s="160" t="s">
        <v>224</v>
      </c>
      <c r="D3" s="161" t="s">
        <v>22</v>
      </c>
      <c r="E3" s="162" t="s">
        <v>0</v>
      </c>
      <c r="F3" s="162" t="s">
        <v>2</v>
      </c>
      <c r="G3" s="162" t="s">
        <v>19</v>
      </c>
      <c r="H3" s="160" t="s">
        <v>1</v>
      </c>
      <c r="I3" s="160" t="s">
        <v>15</v>
      </c>
      <c r="J3" s="160" t="s">
        <v>592</v>
      </c>
      <c r="K3" s="160" t="s">
        <v>591</v>
      </c>
      <c r="L3" s="163" t="s">
        <v>804</v>
      </c>
    </row>
    <row r="4" spans="1:12" s="347" customFormat="1" ht="120" customHeight="1" x14ac:dyDescent="0.25">
      <c r="A4" s="342">
        <v>1</v>
      </c>
      <c r="B4" s="343">
        <v>1</v>
      </c>
      <c r="C4" s="346">
        <v>45421</v>
      </c>
      <c r="D4" s="218">
        <v>2024051600001</v>
      </c>
      <c r="E4" s="345" t="s">
        <v>107</v>
      </c>
      <c r="F4" s="205" t="s">
        <v>1199</v>
      </c>
      <c r="G4" s="205" t="s">
        <v>1200</v>
      </c>
      <c r="H4" s="235">
        <v>45422</v>
      </c>
      <c r="I4" s="83" t="s">
        <v>1246</v>
      </c>
      <c r="J4" s="39" t="s">
        <v>1205</v>
      </c>
      <c r="K4" s="21">
        <v>3</v>
      </c>
      <c r="L4" s="41">
        <v>432</v>
      </c>
    </row>
    <row r="5" spans="1:12" s="10" customFormat="1" ht="40.049999999999997" customHeight="1" x14ac:dyDescent="0.25">
      <c r="A5" s="441">
        <v>2</v>
      </c>
      <c r="B5" s="479">
        <v>1</v>
      </c>
      <c r="C5" s="412">
        <v>45422</v>
      </c>
      <c r="D5" s="414">
        <v>2024050900001</v>
      </c>
      <c r="E5" s="463" t="s">
        <v>454</v>
      </c>
      <c r="F5" s="494" t="s">
        <v>1201</v>
      </c>
      <c r="G5" s="494" t="s">
        <v>1202</v>
      </c>
      <c r="H5" s="412">
        <v>45425</v>
      </c>
      <c r="I5" s="133" t="s">
        <v>1203</v>
      </c>
      <c r="J5" s="39" t="s">
        <v>1243</v>
      </c>
      <c r="K5" s="21">
        <v>2</v>
      </c>
      <c r="L5" s="134">
        <v>3834</v>
      </c>
    </row>
    <row r="6" spans="1:12" s="10" customFormat="1" ht="40.049999999999997" customHeight="1" x14ac:dyDescent="0.25">
      <c r="A6" s="442"/>
      <c r="B6" s="479"/>
      <c r="C6" s="418"/>
      <c r="D6" s="419"/>
      <c r="E6" s="475"/>
      <c r="F6" s="495"/>
      <c r="G6" s="495"/>
      <c r="H6" s="418"/>
      <c r="I6" s="133" t="s">
        <v>1204</v>
      </c>
      <c r="J6" s="39" t="s">
        <v>600</v>
      </c>
      <c r="K6" s="21">
        <v>1</v>
      </c>
      <c r="L6" s="134">
        <v>240</v>
      </c>
    </row>
    <row r="7" spans="1:12" s="10" customFormat="1" ht="40.049999999999997" customHeight="1" x14ac:dyDescent="0.25">
      <c r="A7" s="442"/>
      <c r="B7" s="479"/>
      <c r="C7" s="413"/>
      <c r="D7" s="415"/>
      <c r="E7" s="464"/>
      <c r="F7" s="496"/>
      <c r="G7" s="496"/>
      <c r="H7" s="413"/>
      <c r="I7" s="133" t="s">
        <v>1247</v>
      </c>
      <c r="J7" s="39" t="s">
        <v>1206</v>
      </c>
      <c r="K7" s="21">
        <v>1</v>
      </c>
      <c r="L7" s="134">
        <v>240</v>
      </c>
    </row>
    <row r="8" spans="1:12" s="10" customFormat="1" ht="120" customHeight="1" x14ac:dyDescent="0.25">
      <c r="A8" s="442"/>
      <c r="B8" s="203">
        <v>2</v>
      </c>
      <c r="C8" s="314">
        <v>45422</v>
      </c>
      <c r="D8" s="151">
        <v>2024051300014</v>
      </c>
      <c r="E8" s="150" t="s">
        <v>454</v>
      </c>
      <c r="F8" s="167" t="s">
        <v>1207</v>
      </c>
      <c r="G8" s="167" t="s">
        <v>1208</v>
      </c>
      <c r="H8" s="314">
        <v>45425</v>
      </c>
      <c r="I8" s="133" t="s">
        <v>1007</v>
      </c>
      <c r="J8" s="39" t="s">
        <v>1209</v>
      </c>
      <c r="K8" s="21">
        <v>1</v>
      </c>
      <c r="L8" s="134">
        <v>1298</v>
      </c>
    </row>
    <row r="9" spans="1:12" s="10" customFormat="1" ht="120" customHeight="1" x14ac:dyDescent="0.25">
      <c r="A9" s="442"/>
      <c r="B9" s="348">
        <v>3</v>
      </c>
      <c r="C9" s="314">
        <v>45422</v>
      </c>
      <c r="D9" s="151">
        <v>2024051300015</v>
      </c>
      <c r="E9" s="150" t="s">
        <v>454</v>
      </c>
      <c r="F9" s="167" t="s">
        <v>1210</v>
      </c>
      <c r="G9" s="167" t="s">
        <v>1211</v>
      </c>
      <c r="H9" s="314">
        <v>45425</v>
      </c>
      <c r="I9" s="133" t="s">
        <v>1212</v>
      </c>
      <c r="J9" s="39" t="s">
        <v>1205</v>
      </c>
      <c r="K9" s="21">
        <v>1</v>
      </c>
      <c r="L9" s="134">
        <v>685</v>
      </c>
    </row>
    <row r="10" spans="1:12" s="10" customFormat="1" ht="40.049999999999997" customHeight="1" x14ac:dyDescent="0.25">
      <c r="A10" s="442"/>
      <c r="B10" s="503" t="s">
        <v>1249</v>
      </c>
      <c r="C10" s="504"/>
      <c r="D10" s="504"/>
      <c r="E10" s="504"/>
      <c r="F10" s="504"/>
      <c r="G10" s="504"/>
      <c r="H10" s="505"/>
      <c r="I10" s="133" t="s">
        <v>633</v>
      </c>
      <c r="J10" s="39" t="s">
        <v>600</v>
      </c>
      <c r="K10" s="21">
        <v>2</v>
      </c>
      <c r="L10" s="134">
        <v>3834</v>
      </c>
    </row>
    <row r="11" spans="1:12" s="10" customFormat="1" ht="40.049999999999997" customHeight="1" x14ac:dyDescent="0.25">
      <c r="A11" s="442"/>
      <c r="B11" s="506"/>
      <c r="C11" s="507"/>
      <c r="D11" s="507"/>
      <c r="E11" s="507"/>
      <c r="F11" s="507"/>
      <c r="G11" s="507"/>
      <c r="H11" s="508"/>
      <c r="I11" s="133" t="s">
        <v>1204</v>
      </c>
      <c r="J11" s="39" t="s">
        <v>600</v>
      </c>
      <c r="K11" s="21">
        <v>1</v>
      </c>
      <c r="L11" s="134">
        <v>240</v>
      </c>
    </row>
    <row r="12" spans="1:12" s="10" customFormat="1" ht="40.049999999999997" customHeight="1" x14ac:dyDescent="0.25">
      <c r="A12" s="442"/>
      <c r="B12" s="506"/>
      <c r="C12" s="507"/>
      <c r="D12" s="507"/>
      <c r="E12" s="507"/>
      <c r="F12" s="507"/>
      <c r="G12" s="507"/>
      <c r="H12" s="508"/>
      <c r="I12" s="133" t="s">
        <v>1212</v>
      </c>
      <c r="J12" s="39" t="s">
        <v>621</v>
      </c>
      <c r="K12" s="21">
        <v>1</v>
      </c>
      <c r="L12" s="134">
        <v>685</v>
      </c>
    </row>
    <row r="13" spans="1:12" s="10" customFormat="1" ht="40.049999999999997" customHeight="1" x14ac:dyDescent="0.25">
      <c r="A13" s="442"/>
      <c r="B13" s="506"/>
      <c r="C13" s="507"/>
      <c r="D13" s="507"/>
      <c r="E13" s="507"/>
      <c r="F13" s="507"/>
      <c r="G13" s="507"/>
      <c r="H13" s="508"/>
      <c r="I13" s="133" t="s">
        <v>1007</v>
      </c>
      <c r="J13" s="39" t="s">
        <v>600</v>
      </c>
      <c r="K13" s="21">
        <v>1</v>
      </c>
      <c r="L13" s="134">
        <v>1298</v>
      </c>
    </row>
    <row r="14" spans="1:12" s="10" customFormat="1" ht="40.049999999999997" customHeight="1" x14ac:dyDescent="0.25">
      <c r="A14" s="442"/>
      <c r="B14" s="506"/>
      <c r="C14" s="507"/>
      <c r="D14" s="507"/>
      <c r="E14" s="507"/>
      <c r="F14" s="507"/>
      <c r="G14" s="507"/>
      <c r="H14" s="508"/>
      <c r="I14" s="133" t="s">
        <v>1247</v>
      </c>
      <c r="J14" s="39" t="s">
        <v>621</v>
      </c>
      <c r="K14" s="21">
        <v>1</v>
      </c>
      <c r="L14" s="134">
        <v>240</v>
      </c>
    </row>
    <row r="15" spans="1:12" s="10" customFormat="1" ht="40.049999999999997" customHeight="1" x14ac:dyDescent="0.25">
      <c r="A15" s="443"/>
      <c r="B15" s="509"/>
      <c r="C15" s="510"/>
      <c r="D15" s="510"/>
      <c r="E15" s="510"/>
      <c r="F15" s="510"/>
      <c r="G15" s="510"/>
      <c r="H15" s="511"/>
      <c r="I15" s="512" t="s">
        <v>1251</v>
      </c>
      <c r="J15" s="513"/>
      <c r="K15" s="514"/>
      <c r="L15" s="349">
        <f>SUM(L10:L14)</f>
        <v>6297</v>
      </c>
    </row>
    <row r="16" spans="1:12" s="10" customFormat="1" ht="60" customHeight="1" x14ac:dyDescent="0.25">
      <c r="A16" s="436">
        <v>3</v>
      </c>
      <c r="B16" s="487">
        <v>1</v>
      </c>
      <c r="C16" s="412">
        <v>45426</v>
      </c>
      <c r="D16" s="414">
        <v>2024052800001</v>
      </c>
      <c r="E16" s="463" t="s">
        <v>454</v>
      </c>
      <c r="F16" s="494" t="s">
        <v>1213</v>
      </c>
      <c r="G16" s="494" t="s">
        <v>1214</v>
      </c>
      <c r="H16" s="412">
        <v>45427</v>
      </c>
      <c r="I16" s="133" t="s">
        <v>1215</v>
      </c>
      <c r="J16" s="39" t="s">
        <v>1217</v>
      </c>
      <c r="K16" s="21">
        <v>1</v>
      </c>
      <c r="L16" s="134">
        <v>11983</v>
      </c>
    </row>
    <row r="17" spans="1:12" s="10" customFormat="1" ht="60" customHeight="1" x14ac:dyDescent="0.25">
      <c r="A17" s="438"/>
      <c r="B17" s="489"/>
      <c r="C17" s="413"/>
      <c r="D17" s="415"/>
      <c r="E17" s="464"/>
      <c r="F17" s="496"/>
      <c r="G17" s="496"/>
      <c r="H17" s="413"/>
      <c r="I17" s="133" t="s">
        <v>1216</v>
      </c>
      <c r="J17" s="39" t="s">
        <v>1218</v>
      </c>
      <c r="K17" s="21">
        <v>1</v>
      </c>
      <c r="L17" s="134">
        <v>913</v>
      </c>
    </row>
    <row r="18" spans="1:12" s="10" customFormat="1" ht="100.05" customHeight="1" x14ac:dyDescent="0.25">
      <c r="A18" s="441">
        <v>4</v>
      </c>
      <c r="B18" s="500">
        <v>1</v>
      </c>
      <c r="C18" s="412">
        <v>45427</v>
      </c>
      <c r="D18" s="414">
        <v>2024052000001</v>
      </c>
      <c r="E18" s="463" t="s">
        <v>1219</v>
      </c>
      <c r="F18" s="494" t="s">
        <v>1220</v>
      </c>
      <c r="G18" s="494" t="s">
        <v>1221</v>
      </c>
      <c r="H18" s="412">
        <v>45429</v>
      </c>
      <c r="I18" s="133" t="s">
        <v>1222</v>
      </c>
      <c r="J18" s="39" t="s">
        <v>1225</v>
      </c>
      <c r="K18" s="21">
        <v>7</v>
      </c>
      <c r="L18" s="134">
        <v>441</v>
      </c>
    </row>
    <row r="19" spans="1:12" s="10" customFormat="1" ht="100.05" customHeight="1" x14ac:dyDescent="0.25">
      <c r="A19" s="442"/>
      <c r="B19" s="502"/>
      <c r="C19" s="418"/>
      <c r="D19" s="419"/>
      <c r="E19" s="475"/>
      <c r="F19" s="495"/>
      <c r="G19" s="495"/>
      <c r="H19" s="418"/>
      <c r="I19" s="133" t="s">
        <v>1223</v>
      </c>
      <c r="J19" s="39" t="s">
        <v>1226</v>
      </c>
      <c r="K19" s="21">
        <v>3</v>
      </c>
      <c r="L19" s="134">
        <v>189</v>
      </c>
    </row>
    <row r="20" spans="1:12" s="10" customFormat="1" ht="100.05" customHeight="1" x14ac:dyDescent="0.25">
      <c r="A20" s="442"/>
      <c r="B20" s="502"/>
      <c r="C20" s="418"/>
      <c r="D20" s="419"/>
      <c r="E20" s="475"/>
      <c r="F20" s="495"/>
      <c r="G20" s="495"/>
      <c r="H20" s="418"/>
      <c r="I20" s="133" t="s">
        <v>1224</v>
      </c>
      <c r="J20" s="39" t="s">
        <v>1242</v>
      </c>
      <c r="K20" s="21">
        <v>7</v>
      </c>
      <c r="L20" s="134">
        <v>4200</v>
      </c>
    </row>
    <row r="21" spans="1:12" s="10" customFormat="1" ht="100.05" customHeight="1" x14ac:dyDescent="0.25">
      <c r="A21" s="443"/>
      <c r="B21" s="501"/>
      <c r="C21" s="413"/>
      <c r="D21" s="415"/>
      <c r="E21" s="464"/>
      <c r="F21" s="496"/>
      <c r="G21" s="496"/>
      <c r="H21" s="413"/>
      <c r="I21" s="133" t="s">
        <v>1138</v>
      </c>
      <c r="J21" s="39" t="s">
        <v>1227</v>
      </c>
      <c r="K21" s="21">
        <v>1</v>
      </c>
      <c r="L21" s="134">
        <v>5273</v>
      </c>
    </row>
    <row r="22" spans="1:12" s="10" customFormat="1" ht="49.95" customHeight="1" x14ac:dyDescent="0.25">
      <c r="A22" s="436">
        <v>5</v>
      </c>
      <c r="B22" s="487">
        <v>1</v>
      </c>
      <c r="C22" s="412">
        <v>45427</v>
      </c>
      <c r="D22" s="414">
        <v>2024051700002</v>
      </c>
      <c r="E22" s="465" t="s">
        <v>553</v>
      </c>
      <c r="F22" s="494" t="s">
        <v>1228</v>
      </c>
      <c r="G22" s="494" t="s">
        <v>1229</v>
      </c>
      <c r="H22" s="412">
        <v>45429</v>
      </c>
      <c r="I22" s="133" t="s">
        <v>1230</v>
      </c>
      <c r="J22" s="39" t="s">
        <v>1225</v>
      </c>
      <c r="K22" s="21">
        <v>20</v>
      </c>
      <c r="L22" s="134">
        <v>1260</v>
      </c>
    </row>
    <row r="23" spans="1:12" s="10" customFormat="1" ht="49.95" customHeight="1" x14ac:dyDescent="0.25">
      <c r="A23" s="438"/>
      <c r="B23" s="489"/>
      <c r="C23" s="413"/>
      <c r="D23" s="415"/>
      <c r="E23" s="466"/>
      <c r="F23" s="496"/>
      <c r="G23" s="496"/>
      <c r="H23" s="413"/>
      <c r="I23" s="133" t="s">
        <v>1231</v>
      </c>
      <c r="J23" s="39" t="s">
        <v>1232</v>
      </c>
      <c r="K23" s="21">
        <v>20</v>
      </c>
      <c r="L23" s="134">
        <v>1260</v>
      </c>
    </row>
    <row r="24" spans="1:12" s="10" customFormat="1" ht="49.95" customHeight="1" x14ac:dyDescent="0.25">
      <c r="A24" s="452">
        <v>6</v>
      </c>
      <c r="B24" s="479">
        <v>1</v>
      </c>
      <c r="C24" s="382">
        <v>45427</v>
      </c>
      <c r="D24" s="380">
        <v>2024051700001</v>
      </c>
      <c r="E24" s="482" t="s">
        <v>1233</v>
      </c>
      <c r="F24" s="401" t="s">
        <v>1234</v>
      </c>
      <c r="G24" s="401" t="s">
        <v>1235</v>
      </c>
      <c r="H24" s="382">
        <v>45429</v>
      </c>
      <c r="I24" s="133" t="s">
        <v>1230</v>
      </c>
      <c r="J24" s="39" t="s">
        <v>1225</v>
      </c>
      <c r="K24" s="21">
        <v>32</v>
      </c>
      <c r="L24" s="134">
        <v>2016</v>
      </c>
    </row>
    <row r="25" spans="1:12" s="10" customFormat="1" ht="49.95" customHeight="1" x14ac:dyDescent="0.25">
      <c r="A25" s="452"/>
      <c r="B25" s="479"/>
      <c r="C25" s="382"/>
      <c r="D25" s="380"/>
      <c r="E25" s="482"/>
      <c r="F25" s="401"/>
      <c r="G25" s="401"/>
      <c r="H25" s="382"/>
      <c r="I25" s="133" t="s">
        <v>1231</v>
      </c>
      <c r="J25" s="39" t="s">
        <v>1232</v>
      </c>
      <c r="K25" s="21">
        <v>32</v>
      </c>
      <c r="L25" s="134">
        <v>2016</v>
      </c>
    </row>
    <row r="26" spans="1:12" s="10" customFormat="1" ht="49.95" customHeight="1" x14ac:dyDescent="0.25">
      <c r="A26" s="453">
        <v>7</v>
      </c>
      <c r="B26" s="481">
        <v>1</v>
      </c>
      <c r="C26" s="382">
        <v>45427</v>
      </c>
      <c r="D26" s="380">
        <v>2024051700003</v>
      </c>
      <c r="E26" s="482" t="s">
        <v>553</v>
      </c>
      <c r="F26" s="401" t="s">
        <v>1236</v>
      </c>
      <c r="G26" s="401" t="s">
        <v>1237</v>
      </c>
      <c r="H26" s="382">
        <v>45429</v>
      </c>
      <c r="I26" s="133" t="s">
        <v>1230</v>
      </c>
      <c r="J26" s="39" t="s">
        <v>1225</v>
      </c>
      <c r="K26" s="21">
        <v>36</v>
      </c>
      <c r="L26" s="134">
        <v>2268</v>
      </c>
    </row>
    <row r="27" spans="1:12" s="10" customFormat="1" ht="49.95" customHeight="1" x14ac:dyDescent="0.25">
      <c r="A27" s="453"/>
      <c r="B27" s="481"/>
      <c r="C27" s="382"/>
      <c r="D27" s="380"/>
      <c r="E27" s="482"/>
      <c r="F27" s="401"/>
      <c r="G27" s="401"/>
      <c r="H27" s="382"/>
      <c r="I27" s="133" t="s">
        <v>1231</v>
      </c>
      <c r="J27" s="39" t="s">
        <v>1232</v>
      </c>
      <c r="K27" s="21">
        <v>36</v>
      </c>
      <c r="L27" s="134">
        <v>2268</v>
      </c>
    </row>
    <row r="28" spans="1:12" s="10" customFormat="1" ht="49.95" customHeight="1" x14ac:dyDescent="0.25">
      <c r="A28" s="441">
        <v>8</v>
      </c>
      <c r="B28" s="500">
        <v>1</v>
      </c>
      <c r="C28" s="412">
        <v>45428</v>
      </c>
      <c r="D28" s="414">
        <v>2024052200002</v>
      </c>
      <c r="E28" s="463" t="s">
        <v>454</v>
      </c>
      <c r="F28" s="494" t="s">
        <v>1238</v>
      </c>
      <c r="G28" s="494" t="s">
        <v>1239</v>
      </c>
      <c r="H28" s="382">
        <v>45429</v>
      </c>
      <c r="I28" s="133" t="s">
        <v>1215</v>
      </c>
      <c r="J28" s="39" t="s">
        <v>1217</v>
      </c>
      <c r="K28" s="300">
        <v>1</v>
      </c>
      <c r="L28" s="204">
        <v>11983</v>
      </c>
    </row>
    <row r="29" spans="1:12" s="10" customFormat="1" ht="49.95" customHeight="1" x14ac:dyDescent="0.25">
      <c r="A29" s="443"/>
      <c r="B29" s="501"/>
      <c r="C29" s="413"/>
      <c r="D29" s="415"/>
      <c r="E29" s="464"/>
      <c r="F29" s="496"/>
      <c r="G29" s="496"/>
      <c r="H29" s="382"/>
      <c r="I29" s="133" t="s">
        <v>1216</v>
      </c>
      <c r="J29" s="39" t="s">
        <v>1218</v>
      </c>
      <c r="K29" s="21">
        <v>1</v>
      </c>
      <c r="L29" s="134">
        <v>913</v>
      </c>
    </row>
    <row r="30" spans="1:12" s="10" customFormat="1" ht="100.05" customHeight="1" x14ac:dyDescent="0.25">
      <c r="A30" s="334">
        <v>9</v>
      </c>
      <c r="B30" s="338">
        <v>1</v>
      </c>
      <c r="C30" s="113">
        <v>45429</v>
      </c>
      <c r="D30" s="151">
        <v>2024052100001</v>
      </c>
      <c r="E30" s="339" t="s">
        <v>107</v>
      </c>
      <c r="F30" s="167" t="s">
        <v>1240</v>
      </c>
      <c r="G30" s="167" t="s">
        <v>1241</v>
      </c>
      <c r="H30" s="113">
        <v>45432</v>
      </c>
      <c r="I30" s="133" t="s">
        <v>1244</v>
      </c>
      <c r="J30" s="39" t="s">
        <v>1245</v>
      </c>
      <c r="K30" s="21">
        <v>1</v>
      </c>
      <c r="L30" s="134">
        <v>432</v>
      </c>
    </row>
    <row r="31" spans="1:12" s="10" customFormat="1" ht="120" customHeight="1" thickBot="1" x14ac:dyDescent="0.3">
      <c r="A31" s="341"/>
      <c r="B31" s="335"/>
      <c r="C31" s="335"/>
      <c r="D31" s="335"/>
      <c r="E31" s="335"/>
      <c r="F31" s="335"/>
      <c r="G31" s="335"/>
      <c r="H31" s="336"/>
      <c r="I31" s="402" t="s">
        <v>805</v>
      </c>
      <c r="J31" s="403"/>
      <c r="K31" s="404"/>
      <c r="L31" s="285">
        <f>SUM(L16:L30,L4:L9)</f>
        <v>54144</v>
      </c>
    </row>
    <row r="32" spans="1:12" ht="26.4" customHeight="1" x14ac:dyDescent="0.25"/>
  </sheetData>
  <autoFilter ref="A3:L31" xr:uid="{00000000-0009-0000-0000-000006000000}"/>
  <mergeCells count="62">
    <mergeCell ref="I15:K15"/>
    <mergeCell ref="I31:K31"/>
    <mergeCell ref="A1:L1"/>
    <mergeCell ref="A2:F2"/>
    <mergeCell ref="G2:L2"/>
    <mergeCell ref="C5:C7"/>
    <mergeCell ref="D5:D7"/>
    <mergeCell ref="E5:E7"/>
    <mergeCell ref="F5:F7"/>
    <mergeCell ref="G5:G7"/>
    <mergeCell ref="H5:H7"/>
    <mergeCell ref="B5:B7"/>
    <mergeCell ref="B16:B17"/>
    <mergeCell ref="C16:C17"/>
    <mergeCell ref="D16:D17"/>
    <mergeCell ref="E16:E17"/>
    <mergeCell ref="B10:H15"/>
    <mergeCell ref="G16:G17"/>
    <mergeCell ref="H16:H17"/>
    <mergeCell ref="A16:A17"/>
    <mergeCell ref="F16:F17"/>
    <mergeCell ref="A5:A15"/>
    <mergeCell ref="F18:F21"/>
    <mergeCell ref="G18:G21"/>
    <mergeCell ref="H18:H21"/>
    <mergeCell ref="A22:A23"/>
    <mergeCell ref="C22:C23"/>
    <mergeCell ref="D22:D23"/>
    <mergeCell ref="E22:E23"/>
    <mergeCell ref="F22:F23"/>
    <mergeCell ref="G22:G23"/>
    <mergeCell ref="H22:H23"/>
    <mergeCell ref="B18:B21"/>
    <mergeCell ref="A18:A21"/>
    <mergeCell ref="C18:C21"/>
    <mergeCell ref="D18:D21"/>
    <mergeCell ref="E18:E21"/>
    <mergeCell ref="H24:H25"/>
    <mergeCell ref="B22:B23"/>
    <mergeCell ref="G26:G27"/>
    <mergeCell ref="H26:H27"/>
    <mergeCell ref="B26:B27"/>
    <mergeCell ref="A24:A25"/>
    <mergeCell ref="D24:D25"/>
    <mergeCell ref="E24:E25"/>
    <mergeCell ref="F24:F25"/>
    <mergeCell ref="G24:G25"/>
    <mergeCell ref="C24:C25"/>
    <mergeCell ref="B24:B25"/>
    <mergeCell ref="A26:A27"/>
    <mergeCell ref="H28:H29"/>
    <mergeCell ref="C28:C29"/>
    <mergeCell ref="D28:D29"/>
    <mergeCell ref="E28:E29"/>
    <mergeCell ref="F28:F29"/>
    <mergeCell ref="G28:G29"/>
    <mergeCell ref="A28:A29"/>
    <mergeCell ref="B28:B29"/>
    <mergeCell ref="C26:C27"/>
    <mergeCell ref="D26:D27"/>
    <mergeCell ref="E26:E27"/>
    <mergeCell ref="F26:F27"/>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rowBreaks count="1" manualBreakCount="1">
    <brk id="17" max="16383" man="1"/>
  </row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L31"/>
  <sheetViews>
    <sheetView view="pageBreakPreview" zoomScale="40" zoomScaleNormal="40" zoomScaleSheetLayoutView="40" workbookViewId="0">
      <pane ySplit="1" topLeftCell="A2" activePane="bottomLeft" state="frozen"/>
      <selection pane="bottomLeft" activeCell="Q21" sqref="Q21"/>
    </sheetView>
  </sheetViews>
  <sheetFormatPr defaultColWidth="14.44140625" defaultRowHeight="15.75" customHeight="1" x14ac:dyDescent="0.25"/>
  <cols>
    <col min="1" max="1" width="8.33203125" customWidth="1"/>
    <col min="2" max="2" width="9.109375"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x14ac:dyDescent="0.25">
      <c r="A1" s="454" t="s">
        <v>1197</v>
      </c>
      <c r="B1" s="455"/>
      <c r="C1" s="455"/>
      <c r="D1" s="455"/>
      <c r="E1" s="455"/>
      <c r="F1" s="455"/>
      <c r="G1" s="455"/>
      <c r="H1" s="455"/>
      <c r="I1" s="455"/>
      <c r="J1" s="455"/>
      <c r="K1" s="455"/>
      <c r="L1" s="456"/>
    </row>
    <row r="2" spans="1:12" s="8" customFormat="1" ht="50.1" customHeight="1" thickBot="1" x14ac:dyDescent="0.35">
      <c r="A2" s="483" t="s">
        <v>12</v>
      </c>
      <c r="B2" s="484"/>
      <c r="C2" s="484"/>
      <c r="D2" s="484"/>
      <c r="E2" s="484"/>
      <c r="F2" s="484"/>
      <c r="G2" s="485" t="s">
        <v>1147</v>
      </c>
      <c r="H2" s="485"/>
      <c r="I2" s="485"/>
      <c r="J2" s="485"/>
      <c r="K2" s="485"/>
      <c r="L2" s="486"/>
    </row>
    <row r="3" spans="1:12" s="10" customFormat="1" ht="50.1" customHeight="1" x14ac:dyDescent="0.25">
      <c r="A3" s="159" t="s">
        <v>23</v>
      </c>
      <c r="B3" s="228" t="s">
        <v>653</v>
      </c>
      <c r="C3" s="160" t="s">
        <v>224</v>
      </c>
      <c r="D3" s="161" t="s">
        <v>22</v>
      </c>
      <c r="E3" s="162" t="s">
        <v>0</v>
      </c>
      <c r="F3" s="162" t="s">
        <v>2</v>
      </c>
      <c r="G3" s="162" t="s">
        <v>19</v>
      </c>
      <c r="H3" s="160" t="s">
        <v>1</v>
      </c>
      <c r="I3" s="160" t="s">
        <v>1196</v>
      </c>
      <c r="J3" s="160" t="s">
        <v>592</v>
      </c>
      <c r="K3" s="160" t="s">
        <v>591</v>
      </c>
      <c r="L3" s="163" t="s">
        <v>804</v>
      </c>
    </row>
    <row r="4" spans="1:12" s="10" customFormat="1" ht="45" customHeight="1" x14ac:dyDescent="0.25">
      <c r="A4" s="436">
        <v>1</v>
      </c>
      <c r="B4" s="487">
        <v>1</v>
      </c>
      <c r="C4" s="467">
        <v>45390</v>
      </c>
      <c r="D4" s="471">
        <v>2024041700001</v>
      </c>
      <c r="E4" s="463" t="s">
        <v>588</v>
      </c>
      <c r="F4" s="469" t="s">
        <v>1148</v>
      </c>
      <c r="G4" s="491" t="s">
        <v>1149</v>
      </c>
      <c r="H4" s="412">
        <v>45392</v>
      </c>
      <c r="I4" s="83" t="s">
        <v>1150</v>
      </c>
      <c r="J4" s="39" t="s">
        <v>1152</v>
      </c>
      <c r="K4" s="21">
        <v>95</v>
      </c>
      <c r="L4" s="41">
        <v>5985</v>
      </c>
    </row>
    <row r="5" spans="1:12" s="10" customFormat="1" ht="45" customHeight="1" x14ac:dyDescent="0.25">
      <c r="A5" s="438"/>
      <c r="B5" s="489"/>
      <c r="C5" s="468"/>
      <c r="D5" s="472"/>
      <c r="E5" s="464"/>
      <c r="F5" s="470"/>
      <c r="G5" s="493"/>
      <c r="H5" s="413"/>
      <c r="I5" s="83" t="s">
        <v>1151</v>
      </c>
      <c r="J5" s="39" t="s">
        <v>1153</v>
      </c>
      <c r="K5" s="21">
        <v>15</v>
      </c>
      <c r="L5" s="41">
        <v>945</v>
      </c>
    </row>
    <row r="6" spans="1:12" s="10" customFormat="1" ht="90" customHeight="1" x14ac:dyDescent="0.25">
      <c r="A6" s="337">
        <v>2</v>
      </c>
      <c r="B6" s="203">
        <v>1</v>
      </c>
      <c r="C6" s="314">
        <v>45394</v>
      </c>
      <c r="D6" s="151">
        <v>2024041200003</v>
      </c>
      <c r="E6" s="150" t="s">
        <v>454</v>
      </c>
      <c r="F6" s="167" t="s">
        <v>1155</v>
      </c>
      <c r="G6" s="81" t="s">
        <v>1156</v>
      </c>
      <c r="H6" s="314">
        <v>45396</v>
      </c>
      <c r="I6" s="133" t="s">
        <v>1154</v>
      </c>
      <c r="J6" s="39" t="s">
        <v>649</v>
      </c>
      <c r="K6" s="21">
        <v>1</v>
      </c>
      <c r="L6" s="134">
        <v>1869</v>
      </c>
    </row>
    <row r="7" spans="1:12" s="10" customFormat="1" ht="45" customHeight="1" x14ac:dyDescent="0.25">
      <c r="A7" s="453">
        <v>3</v>
      </c>
      <c r="B7" s="487">
        <v>1</v>
      </c>
      <c r="C7" s="382">
        <v>45394</v>
      </c>
      <c r="D7" s="414">
        <v>2024041800001</v>
      </c>
      <c r="E7" s="463" t="s">
        <v>454</v>
      </c>
      <c r="F7" s="491" t="s">
        <v>1157</v>
      </c>
      <c r="G7" s="491" t="s">
        <v>1158</v>
      </c>
      <c r="H7" s="382">
        <v>45397</v>
      </c>
      <c r="I7" s="133" t="s">
        <v>1159</v>
      </c>
      <c r="J7" s="39" t="s">
        <v>595</v>
      </c>
      <c r="K7" s="21">
        <v>1</v>
      </c>
      <c r="L7" s="134">
        <v>11983</v>
      </c>
    </row>
    <row r="8" spans="1:12" s="10" customFormat="1" ht="45" customHeight="1" x14ac:dyDescent="0.25">
      <c r="A8" s="453"/>
      <c r="B8" s="489"/>
      <c r="C8" s="382"/>
      <c r="D8" s="415"/>
      <c r="E8" s="464"/>
      <c r="F8" s="493"/>
      <c r="G8" s="493"/>
      <c r="H8" s="382"/>
      <c r="I8" s="133" t="s">
        <v>1160</v>
      </c>
      <c r="J8" s="39" t="s">
        <v>1161</v>
      </c>
      <c r="K8" s="21">
        <v>1</v>
      </c>
      <c r="L8" s="134">
        <v>913</v>
      </c>
    </row>
    <row r="9" spans="1:12" s="10" customFormat="1" ht="45" customHeight="1" x14ac:dyDescent="0.25">
      <c r="A9" s="441">
        <v>4</v>
      </c>
      <c r="B9" s="500">
        <v>1</v>
      </c>
      <c r="C9" s="412">
        <v>45394</v>
      </c>
      <c r="D9" s="414">
        <v>2024041800005</v>
      </c>
      <c r="E9" s="463" t="s">
        <v>454</v>
      </c>
      <c r="F9" s="491" t="s">
        <v>1162</v>
      </c>
      <c r="G9" s="491" t="s">
        <v>1163</v>
      </c>
      <c r="H9" s="412">
        <v>45397</v>
      </c>
      <c r="I9" s="133" t="s">
        <v>1159</v>
      </c>
      <c r="J9" s="39" t="s">
        <v>595</v>
      </c>
      <c r="K9" s="21">
        <v>1</v>
      </c>
      <c r="L9" s="134">
        <v>11983</v>
      </c>
    </row>
    <row r="10" spans="1:12" s="10" customFormat="1" ht="45" customHeight="1" x14ac:dyDescent="0.25">
      <c r="A10" s="442"/>
      <c r="B10" s="501"/>
      <c r="C10" s="413"/>
      <c r="D10" s="415"/>
      <c r="E10" s="464"/>
      <c r="F10" s="493"/>
      <c r="G10" s="493"/>
      <c r="H10" s="413"/>
      <c r="I10" s="133" t="s">
        <v>1160</v>
      </c>
      <c r="J10" s="39" t="s">
        <v>1161</v>
      </c>
      <c r="K10" s="21">
        <v>1</v>
      </c>
      <c r="L10" s="134">
        <v>913</v>
      </c>
    </row>
    <row r="11" spans="1:12" s="10" customFormat="1" ht="45" customHeight="1" x14ac:dyDescent="0.25">
      <c r="A11" s="442"/>
      <c r="B11" s="502">
        <v>2</v>
      </c>
      <c r="C11" s="412">
        <v>45394</v>
      </c>
      <c r="D11" s="414">
        <v>2024041800006</v>
      </c>
      <c r="E11" s="463" t="s">
        <v>454</v>
      </c>
      <c r="F11" s="491" t="s">
        <v>1164</v>
      </c>
      <c r="G11" s="491" t="s">
        <v>1165</v>
      </c>
      <c r="H11" s="412">
        <v>45397</v>
      </c>
      <c r="I11" s="133" t="s">
        <v>1159</v>
      </c>
      <c r="J11" s="39" t="s">
        <v>595</v>
      </c>
      <c r="K11" s="21">
        <v>1</v>
      </c>
      <c r="L11" s="134">
        <v>11983</v>
      </c>
    </row>
    <row r="12" spans="1:12" s="10" customFormat="1" ht="45" customHeight="1" x14ac:dyDescent="0.25">
      <c r="A12" s="442"/>
      <c r="B12" s="501"/>
      <c r="C12" s="413"/>
      <c r="D12" s="415"/>
      <c r="E12" s="464"/>
      <c r="F12" s="493"/>
      <c r="G12" s="493"/>
      <c r="H12" s="413"/>
      <c r="I12" s="133" t="s">
        <v>1160</v>
      </c>
      <c r="J12" s="39" t="s">
        <v>1161</v>
      </c>
      <c r="K12" s="21">
        <v>1</v>
      </c>
      <c r="L12" s="134">
        <v>913</v>
      </c>
    </row>
    <row r="13" spans="1:12" s="10" customFormat="1" ht="45" customHeight="1" x14ac:dyDescent="0.25">
      <c r="A13" s="442"/>
      <c r="B13" s="500">
        <v>3</v>
      </c>
      <c r="C13" s="412">
        <v>45394</v>
      </c>
      <c r="D13" s="414">
        <v>2024041800007</v>
      </c>
      <c r="E13" s="463" t="s">
        <v>454</v>
      </c>
      <c r="F13" s="491" t="s">
        <v>1166</v>
      </c>
      <c r="G13" s="491" t="s">
        <v>1167</v>
      </c>
      <c r="H13" s="412">
        <v>45397</v>
      </c>
      <c r="I13" s="133" t="s">
        <v>1159</v>
      </c>
      <c r="J13" s="39" t="s">
        <v>595</v>
      </c>
      <c r="K13" s="21">
        <v>1</v>
      </c>
      <c r="L13" s="134">
        <v>11983</v>
      </c>
    </row>
    <row r="14" spans="1:12" s="10" customFormat="1" ht="45" customHeight="1" x14ac:dyDescent="0.25">
      <c r="A14" s="442"/>
      <c r="B14" s="501"/>
      <c r="C14" s="413"/>
      <c r="D14" s="415"/>
      <c r="E14" s="464"/>
      <c r="F14" s="493"/>
      <c r="G14" s="493"/>
      <c r="H14" s="413"/>
      <c r="I14" s="133" t="s">
        <v>1160</v>
      </c>
      <c r="J14" s="39" t="s">
        <v>1161</v>
      </c>
      <c r="K14" s="21">
        <v>1</v>
      </c>
      <c r="L14" s="134">
        <v>913</v>
      </c>
    </row>
    <row r="15" spans="1:12" s="10" customFormat="1" ht="45" customHeight="1" x14ac:dyDescent="0.25">
      <c r="A15" s="442"/>
      <c r="B15" s="500">
        <v>4</v>
      </c>
      <c r="C15" s="412">
        <v>45394</v>
      </c>
      <c r="D15" s="414">
        <v>2024041800008</v>
      </c>
      <c r="E15" s="463" t="s">
        <v>454</v>
      </c>
      <c r="F15" s="491" t="s">
        <v>1168</v>
      </c>
      <c r="G15" s="491" t="s">
        <v>1169</v>
      </c>
      <c r="H15" s="412">
        <v>45397</v>
      </c>
      <c r="I15" s="133" t="s">
        <v>1159</v>
      </c>
      <c r="J15" s="39" t="s">
        <v>595</v>
      </c>
      <c r="K15" s="21">
        <v>1</v>
      </c>
      <c r="L15" s="134">
        <v>11983</v>
      </c>
    </row>
    <row r="16" spans="1:12" s="10" customFormat="1" ht="45" customHeight="1" x14ac:dyDescent="0.25">
      <c r="A16" s="442"/>
      <c r="B16" s="501"/>
      <c r="C16" s="413"/>
      <c r="D16" s="415"/>
      <c r="E16" s="464"/>
      <c r="F16" s="493"/>
      <c r="G16" s="493"/>
      <c r="H16" s="413"/>
      <c r="I16" s="133" t="s">
        <v>1160</v>
      </c>
      <c r="J16" s="39" t="s">
        <v>1161</v>
      </c>
      <c r="K16" s="21">
        <v>1</v>
      </c>
      <c r="L16" s="134">
        <v>913</v>
      </c>
    </row>
    <row r="17" spans="1:12" s="10" customFormat="1" ht="45" customHeight="1" x14ac:dyDescent="0.25">
      <c r="A17" s="442"/>
      <c r="B17" s="503" t="s">
        <v>1248</v>
      </c>
      <c r="C17" s="504"/>
      <c r="D17" s="504"/>
      <c r="E17" s="504"/>
      <c r="F17" s="504"/>
      <c r="G17" s="504"/>
      <c r="H17" s="505"/>
      <c r="I17" s="133" t="s">
        <v>598</v>
      </c>
      <c r="J17" s="39" t="s">
        <v>595</v>
      </c>
      <c r="K17" s="21">
        <v>4</v>
      </c>
      <c r="L17" s="134">
        <v>47932</v>
      </c>
    </row>
    <row r="18" spans="1:12" s="10" customFormat="1" ht="45" customHeight="1" x14ac:dyDescent="0.25">
      <c r="A18" s="442"/>
      <c r="B18" s="506"/>
      <c r="C18" s="507"/>
      <c r="D18" s="507"/>
      <c r="E18" s="507"/>
      <c r="F18" s="507"/>
      <c r="G18" s="507"/>
      <c r="H18" s="508"/>
      <c r="I18" s="133" t="s">
        <v>599</v>
      </c>
      <c r="J18" s="39" t="s">
        <v>1047</v>
      </c>
      <c r="K18" s="21">
        <v>4</v>
      </c>
      <c r="L18" s="134">
        <v>3652</v>
      </c>
    </row>
    <row r="19" spans="1:12" s="10" customFormat="1" ht="45" customHeight="1" x14ac:dyDescent="0.25">
      <c r="A19" s="443"/>
      <c r="B19" s="509"/>
      <c r="C19" s="510"/>
      <c r="D19" s="510"/>
      <c r="E19" s="510"/>
      <c r="F19" s="510"/>
      <c r="G19" s="510"/>
      <c r="H19" s="511"/>
      <c r="I19" s="512" t="s">
        <v>1250</v>
      </c>
      <c r="J19" s="513"/>
      <c r="K19" s="514"/>
      <c r="L19" s="134">
        <f>SUM(L17:L18)</f>
        <v>51584</v>
      </c>
    </row>
    <row r="20" spans="1:12" s="10" customFormat="1" ht="45" customHeight="1" x14ac:dyDescent="0.25">
      <c r="A20" s="436">
        <v>5</v>
      </c>
      <c r="B20" s="487">
        <v>1</v>
      </c>
      <c r="C20" s="412">
        <v>45399</v>
      </c>
      <c r="D20" s="414">
        <v>2024042400004</v>
      </c>
      <c r="E20" s="463" t="s">
        <v>454</v>
      </c>
      <c r="F20" s="491" t="s">
        <v>1170</v>
      </c>
      <c r="G20" s="491" t="s">
        <v>1171</v>
      </c>
      <c r="H20" s="412">
        <v>45401</v>
      </c>
      <c r="I20" s="83" t="s">
        <v>1150</v>
      </c>
      <c r="J20" s="39" t="s">
        <v>1152</v>
      </c>
      <c r="K20" s="21">
        <v>100</v>
      </c>
      <c r="L20" s="134">
        <v>6300</v>
      </c>
    </row>
    <row r="21" spans="1:12" s="10" customFormat="1" ht="45" customHeight="1" x14ac:dyDescent="0.25">
      <c r="A21" s="437"/>
      <c r="B21" s="488"/>
      <c r="C21" s="418"/>
      <c r="D21" s="419"/>
      <c r="E21" s="475"/>
      <c r="F21" s="492"/>
      <c r="G21" s="492"/>
      <c r="H21" s="418"/>
      <c r="I21" s="83" t="s">
        <v>1151</v>
      </c>
      <c r="J21" s="39" t="s">
        <v>1153</v>
      </c>
      <c r="K21" s="21">
        <v>5</v>
      </c>
      <c r="L21" s="134">
        <v>315</v>
      </c>
    </row>
    <row r="22" spans="1:12" s="10" customFormat="1" ht="45" customHeight="1" x14ac:dyDescent="0.25">
      <c r="A22" s="437"/>
      <c r="B22" s="488"/>
      <c r="C22" s="418"/>
      <c r="D22" s="419"/>
      <c r="E22" s="475"/>
      <c r="F22" s="492"/>
      <c r="G22" s="492"/>
      <c r="H22" s="418"/>
      <c r="I22" s="133" t="s">
        <v>1159</v>
      </c>
      <c r="J22" s="39" t="s">
        <v>595</v>
      </c>
      <c r="K22" s="21">
        <v>1</v>
      </c>
      <c r="L22" s="134">
        <v>11983</v>
      </c>
    </row>
    <row r="23" spans="1:12" s="10" customFormat="1" ht="45" customHeight="1" x14ac:dyDescent="0.25">
      <c r="A23" s="438"/>
      <c r="B23" s="489"/>
      <c r="C23" s="413"/>
      <c r="D23" s="415"/>
      <c r="E23" s="464"/>
      <c r="F23" s="493"/>
      <c r="G23" s="493"/>
      <c r="H23" s="413"/>
      <c r="I23" s="133" t="s">
        <v>1160</v>
      </c>
      <c r="J23" s="39" t="s">
        <v>1161</v>
      </c>
      <c r="K23" s="21">
        <v>1</v>
      </c>
      <c r="L23" s="134">
        <v>913</v>
      </c>
    </row>
    <row r="24" spans="1:12" s="10" customFormat="1" ht="90" customHeight="1" x14ac:dyDescent="0.25">
      <c r="A24" s="337">
        <v>6</v>
      </c>
      <c r="B24" s="203">
        <v>1</v>
      </c>
      <c r="C24" s="314">
        <v>45400</v>
      </c>
      <c r="D24" s="151">
        <v>2024041900002</v>
      </c>
      <c r="E24" s="150" t="s">
        <v>1174</v>
      </c>
      <c r="F24" s="167" t="s">
        <v>1175</v>
      </c>
      <c r="G24" s="167" t="s">
        <v>1176</v>
      </c>
      <c r="H24" s="314">
        <v>45401</v>
      </c>
      <c r="I24" s="133" t="s">
        <v>1189</v>
      </c>
      <c r="J24" s="39" t="s">
        <v>1190</v>
      </c>
      <c r="K24" s="21">
        <v>102</v>
      </c>
      <c r="L24" s="134">
        <v>3876</v>
      </c>
    </row>
    <row r="25" spans="1:12" s="10" customFormat="1" ht="90" customHeight="1" x14ac:dyDescent="0.25">
      <c r="A25" s="334">
        <v>7</v>
      </c>
      <c r="B25" s="338">
        <v>1</v>
      </c>
      <c r="C25" s="314">
        <v>45400</v>
      </c>
      <c r="D25" s="151">
        <v>2024042400008</v>
      </c>
      <c r="E25" s="150" t="s">
        <v>553</v>
      </c>
      <c r="F25" s="81" t="s">
        <v>1177</v>
      </c>
      <c r="G25" s="81" t="s">
        <v>1178</v>
      </c>
      <c r="H25" s="314">
        <v>45401</v>
      </c>
      <c r="I25" s="133" t="s">
        <v>1172</v>
      </c>
      <c r="J25" s="39" t="s">
        <v>1173</v>
      </c>
      <c r="K25" s="21">
        <v>38</v>
      </c>
      <c r="L25" s="134">
        <v>1444</v>
      </c>
    </row>
    <row r="26" spans="1:12" s="10" customFormat="1" ht="90" customHeight="1" x14ac:dyDescent="0.25">
      <c r="A26" s="337">
        <v>8</v>
      </c>
      <c r="B26" s="203">
        <v>1</v>
      </c>
      <c r="C26" s="314">
        <v>45401</v>
      </c>
      <c r="D26" s="151">
        <v>2024042200001</v>
      </c>
      <c r="E26" s="150" t="s">
        <v>454</v>
      </c>
      <c r="F26" s="81" t="s">
        <v>1179</v>
      </c>
      <c r="G26" s="81" t="s">
        <v>1180</v>
      </c>
      <c r="H26" s="314">
        <v>45404</v>
      </c>
      <c r="I26" s="133" t="s">
        <v>1191</v>
      </c>
      <c r="J26" s="39" t="s">
        <v>1192</v>
      </c>
      <c r="K26" s="21">
        <v>1</v>
      </c>
      <c r="L26" s="134">
        <v>767</v>
      </c>
    </row>
    <row r="27" spans="1:12" s="10" customFormat="1" ht="90" customHeight="1" x14ac:dyDescent="0.25">
      <c r="A27" s="334">
        <v>9</v>
      </c>
      <c r="B27" s="338">
        <v>1</v>
      </c>
      <c r="C27" s="314">
        <v>45401</v>
      </c>
      <c r="D27" s="151">
        <v>2024042200002</v>
      </c>
      <c r="E27" s="150" t="s">
        <v>454</v>
      </c>
      <c r="F27" s="81" t="s">
        <v>1183</v>
      </c>
      <c r="G27" s="81" t="s">
        <v>1184</v>
      </c>
      <c r="H27" s="314">
        <v>45404</v>
      </c>
      <c r="I27" s="133" t="s">
        <v>1193</v>
      </c>
      <c r="J27" s="39" t="s">
        <v>1182</v>
      </c>
      <c r="K27" s="21">
        <v>1</v>
      </c>
      <c r="L27" s="134">
        <v>563</v>
      </c>
    </row>
    <row r="28" spans="1:12" s="10" customFormat="1" ht="90" customHeight="1" x14ac:dyDescent="0.25">
      <c r="A28" s="337">
        <v>10</v>
      </c>
      <c r="B28" s="203">
        <v>1</v>
      </c>
      <c r="C28" s="314">
        <v>45401</v>
      </c>
      <c r="D28" s="151">
        <v>2024042200004</v>
      </c>
      <c r="E28" s="150" t="s">
        <v>454</v>
      </c>
      <c r="F28" s="81" t="s">
        <v>1185</v>
      </c>
      <c r="G28" s="81" t="s">
        <v>1186</v>
      </c>
      <c r="H28" s="314">
        <v>45404</v>
      </c>
      <c r="I28" s="133" t="s">
        <v>1181</v>
      </c>
      <c r="J28" s="39" t="s">
        <v>1182</v>
      </c>
      <c r="K28" s="21">
        <v>1</v>
      </c>
      <c r="L28" s="134">
        <v>563</v>
      </c>
    </row>
    <row r="29" spans="1:12" s="10" customFormat="1" ht="45" customHeight="1" x14ac:dyDescent="0.25">
      <c r="A29" s="436">
        <v>11</v>
      </c>
      <c r="B29" s="487">
        <v>1</v>
      </c>
      <c r="C29" s="412">
        <v>45405</v>
      </c>
      <c r="D29" s="414">
        <v>2024042600001</v>
      </c>
      <c r="E29" s="465" t="s">
        <v>588</v>
      </c>
      <c r="F29" s="491" t="s">
        <v>1187</v>
      </c>
      <c r="G29" s="491" t="s">
        <v>1188</v>
      </c>
      <c r="H29" s="412">
        <v>45406</v>
      </c>
      <c r="I29" s="83" t="s">
        <v>1150</v>
      </c>
      <c r="J29" s="39" t="s">
        <v>1152</v>
      </c>
      <c r="K29" s="21">
        <v>90</v>
      </c>
      <c r="L29" s="134">
        <v>5670</v>
      </c>
    </row>
    <row r="30" spans="1:12" s="10" customFormat="1" ht="45" customHeight="1" x14ac:dyDescent="0.25">
      <c r="A30" s="438"/>
      <c r="B30" s="489"/>
      <c r="C30" s="413"/>
      <c r="D30" s="415"/>
      <c r="E30" s="466"/>
      <c r="F30" s="493"/>
      <c r="G30" s="493"/>
      <c r="H30" s="413"/>
      <c r="I30" s="83" t="s">
        <v>1151</v>
      </c>
      <c r="J30" s="39" t="s">
        <v>1153</v>
      </c>
      <c r="K30" s="21">
        <v>15</v>
      </c>
      <c r="L30" s="134">
        <v>945</v>
      </c>
    </row>
    <row r="31" spans="1:12" s="10" customFormat="1" ht="70.05" customHeight="1" thickBot="1" x14ac:dyDescent="0.3">
      <c r="A31" s="341"/>
      <c r="B31" s="335"/>
      <c r="C31" s="335"/>
      <c r="D31" s="335"/>
      <c r="E31" s="335"/>
      <c r="F31" s="335"/>
      <c r="G31" s="335"/>
      <c r="H31" s="336"/>
      <c r="I31" s="402" t="s">
        <v>805</v>
      </c>
      <c r="J31" s="403"/>
      <c r="K31" s="404"/>
      <c r="L31" s="285">
        <f>SUM(L19:L30,L4:L8)</f>
        <v>106618</v>
      </c>
    </row>
  </sheetData>
  <autoFilter ref="A3:L31" xr:uid="{00000000-0009-0000-0000-000007000000}"/>
  <mergeCells count="67">
    <mergeCell ref="I19:K19"/>
    <mergeCell ref="B9:B10"/>
    <mergeCell ref="B11:B12"/>
    <mergeCell ref="B13:B14"/>
    <mergeCell ref="B15:B16"/>
    <mergeCell ref="F11:F12"/>
    <mergeCell ref="F13:F14"/>
    <mergeCell ref="G13:G14"/>
    <mergeCell ref="H13:H14"/>
    <mergeCell ref="A9:A19"/>
    <mergeCell ref="B17:H19"/>
    <mergeCell ref="C13:C14"/>
    <mergeCell ref="C15:C16"/>
    <mergeCell ref="H15:H16"/>
    <mergeCell ref="D15:D16"/>
    <mergeCell ref="E15:E16"/>
    <mergeCell ref="F15:F16"/>
    <mergeCell ref="G15:G16"/>
    <mergeCell ref="D13:D14"/>
    <mergeCell ref="G9:G10"/>
    <mergeCell ref="F9:F10"/>
    <mergeCell ref="G11:G12"/>
    <mergeCell ref="H11:H12"/>
    <mergeCell ref="E13:E14"/>
    <mergeCell ref="E11:E12"/>
    <mergeCell ref="A1:L1"/>
    <mergeCell ref="A2:F2"/>
    <mergeCell ref="G2:L2"/>
    <mergeCell ref="B4:B5"/>
    <mergeCell ref="B7:B8"/>
    <mergeCell ref="A7:A8"/>
    <mergeCell ref="A4:A5"/>
    <mergeCell ref="F7:F8"/>
    <mergeCell ref="G7:G8"/>
    <mergeCell ref="H7:H8"/>
    <mergeCell ref="I31:K31"/>
    <mergeCell ref="C4:C5"/>
    <mergeCell ref="D4:D5"/>
    <mergeCell ref="E4:E5"/>
    <mergeCell ref="F4:F5"/>
    <mergeCell ref="G4:G5"/>
    <mergeCell ref="H4:H5"/>
    <mergeCell ref="H9:H10"/>
    <mergeCell ref="C11:C12"/>
    <mergeCell ref="D11:D12"/>
    <mergeCell ref="C7:C8"/>
    <mergeCell ref="D7:D8"/>
    <mergeCell ref="E7:E8"/>
    <mergeCell ref="C9:C10"/>
    <mergeCell ref="D9:D10"/>
    <mergeCell ref="E9:E10"/>
    <mergeCell ref="A20:A23"/>
    <mergeCell ref="C29:C30"/>
    <mergeCell ref="H29:H30"/>
    <mergeCell ref="D29:D30"/>
    <mergeCell ref="E29:E30"/>
    <mergeCell ref="F29:F30"/>
    <mergeCell ref="G29:G30"/>
    <mergeCell ref="A29:A30"/>
    <mergeCell ref="H20:H23"/>
    <mergeCell ref="G20:G23"/>
    <mergeCell ref="F20:F23"/>
    <mergeCell ref="E20:E23"/>
    <mergeCell ref="D20:D23"/>
    <mergeCell ref="C20:C23"/>
    <mergeCell ref="B20:B23"/>
    <mergeCell ref="B29:B30"/>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rowBreaks count="1" manualBreakCount="1">
    <brk id="23" max="16383" man="1"/>
  </rowBreak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M19"/>
  <sheetViews>
    <sheetView view="pageBreakPreview" zoomScale="40" zoomScaleNormal="40" zoomScaleSheetLayoutView="40" workbookViewId="0">
      <pane ySplit="1" topLeftCell="A8" activePane="bottomLeft" state="frozen"/>
      <selection pane="bottomLeft" activeCell="Q13" sqref="Q13"/>
    </sheetView>
  </sheetViews>
  <sheetFormatPr defaultColWidth="14.44140625" defaultRowHeight="15.75" customHeight="1" x14ac:dyDescent="0.25"/>
  <cols>
    <col min="1" max="1" width="8.33203125" customWidth="1"/>
    <col min="2" max="3" width="9.109375" hidden="1" customWidth="1"/>
    <col min="4" max="4" width="30" bestFit="1" customWidth="1"/>
    <col min="5" max="5" width="30.21875" style="1" customWidth="1"/>
    <col min="6" max="6" width="25.6640625" customWidth="1"/>
    <col min="7" max="7" width="30.33203125" customWidth="1"/>
    <col min="8" max="8" width="80.6640625" style="53" customWidth="1"/>
    <col min="9" max="9" width="25.6640625" customWidth="1"/>
    <col min="10" max="10" width="24.5546875" style="53" customWidth="1"/>
    <col min="11" max="11" width="10.77734375" style="1" customWidth="1"/>
    <col min="12" max="12" width="14.109375" style="1" customWidth="1"/>
    <col min="13" max="13" width="30.6640625" style="12" customWidth="1"/>
    <col min="17" max="17" width="18.77734375" bestFit="1" customWidth="1"/>
  </cols>
  <sheetData>
    <row r="1" spans="1:13" ht="50.1" customHeight="1" x14ac:dyDescent="0.25">
      <c r="A1" s="454" t="s">
        <v>11</v>
      </c>
      <c r="B1" s="455"/>
      <c r="C1" s="455"/>
      <c r="D1" s="455"/>
      <c r="E1" s="455"/>
      <c r="F1" s="455"/>
      <c r="G1" s="455"/>
      <c r="H1" s="455"/>
      <c r="I1" s="455"/>
      <c r="J1" s="455"/>
      <c r="K1" s="455"/>
      <c r="L1" s="455"/>
      <c r="M1" s="456"/>
    </row>
    <row r="2" spans="1:13" s="8" customFormat="1" ht="50.1" customHeight="1" thickBot="1" x14ac:dyDescent="0.35">
      <c r="A2" s="483" t="s">
        <v>12</v>
      </c>
      <c r="B2" s="484"/>
      <c r="C2" s="484"/>
      <c r="D2" s="484"/>
      <c r="E2" s="484"/>
      <c r="F2" s="484"/>
      <c r="G2" s="484"/>
      <c r="H2" s="485" t="s">
        <v>1115</v>
      </c>
      <c r="I2" s="485"/>
      <c r="J2" s="485"/>
      <c r="K2" s="485"/>
      <c r="L2" s="485"/>
      <c r="M2" s="486"/>
    </row>
    <row r="3" spans="1:13" s="10" customFormat="1" ht="50.1" customHeight="1" x14ac:dyDescent="0.25">
      <c r="A3" s="159" t="s">
        <v>23</v>
      </c>
      <c r="B3" s="228" t="s">
        <v>23</v>
      </c>
      <c r="C3" s="228" t="s">
        <v>653</v>
      </c>
      <c r="D3" s="160" t="s">
        <v>224</v>
      </c>
      <c r="E3" s="161" t="s">
        <v>22</v>
      </c>
      <c r="F3" s="162" t="s">
        <v>0</v>
      </c>
      <c r="G3" s="162" t="s">
        <v>2</v>
      </c>
      <c r="H3" s="162" t="s">
        <v>19</v>
      </c>
      <c r="I3" s="160" t="s">
        <v>1</v>
      </c>
      <c r="J3" s="160" t="s">
        <v>15</v>
      </c>
      <c r="K3" s="160" t="s">
        <v>592</v>
      </c>
      <c r="L3" s="160" t="s">
        <v>591</v>
      </c>
      <c r="M3" s="163" t="s">
        <v>804</v>
      </c>
    </row>
    <row r="4" spans="1:13" s="10" customFormat="1" ht="80.400000000000006" customHeight="1" x14ac:dyDescent="0.25">
      <c r="A4" s="334">
        <v>1</v>
      </c>
      <c r="B4" s="338">
        <v>1</v>
      </c>
      <c r="C4" s="338">
        <v>1</v>
      </c>
      <c r="D4" s="113">
        <v>45352</v>
      </c>
      <c r="E4" s="151">
        <v>2024030400001</v>
      </c>
      <c r="F4" s="150" t="s">
        <v>454</v>
      </c>
      <c r="G4" s="81" t="s">
        <v>1116</v>
      </c>
      <c r="H4" s="81" t="s">
        <v>1117</v>
      </c>
      <c r="I4" s="113">
        <v>45355</v>
      </c>
      <c r="J4" s="83" t="s">
        <v>1118</v>
      </c>
      <c r="K4" s="39" t="s">
        <v>1119</v>
      </c>
      <c r="L4" s="21">
        <v>1</v>
      </c>
      <c r="M4" s="41">
        <v>354</v>
      </c>
    </row>
    <row r="5" spans="1:13" s="10" customFormat="1" ht="48.6" customHeight="1" x14ac:dyDescent="0.25">
      <c r="A5" s="452">
        <v>2</v>
      </c>
      <c r="B5" s="203">
        <v>4</v>
      </c>
      <c r="C5" s="479">
        <v>1</v>
      </c>
      <c r="D5" s="382">
        <v>45355</v>
      </c>
      <c r="E5" s="397" t="s">
        <v>1120</v>
      </c>
      <c r="F5" s="379" t="s">
        <v>454</v>
      </c>
      <c r="G5" s="383" t="s">
        <v>1121</v>
      </c>
      <c r="H5" s="401" t="s">
        <v>1122</v>
      </c>
      <c r="I5" s="382">
        <v>45357</v>
      </c>
      <c r="J5" s="133" t="s">
        <v>1123</v>
      </c>
      <c r="K5" s="39" t="s">
        <v>1127</v>
      </c>
      <c r="L5" s="21">
        <v>65</v>
      </c>
      <c r="M5" s="134">
        <v>3055</v>
      </c>
    </row>
    <row r="6" spans="1:13" s="10" customFormat="1" ht="48.6" customHeight="1" x14ac:dyDescent="0.25">
      <c r="A6" s="452"/>
      <c r="B6" s="203"/>
      <c r="C6" s="479"/>
      <c r="D6" s="382"/>
      <c r="E6" s="380"/>
      <c r="F6" s="379"/>
      <c r="G6" s="383"/>
      <c r="H6" s="401"/>
      <c r="I6" s="382"/>
      <c r="J6" s="133" t="s">
        <v>1124</v>
      </c>
      <c r="K6" s="39" t="s">
        <v>1128</v>
      </c>
      <c r="L6" s="21">
        <v>3</v>
      </c>
      <c r="M6" s="134">
        <v>153</v>
      </c>
    </row>
    <row r="7" spans="1:13" s="10" customFormat="1" ht="48.6" customHeight="1" x14ac:dyDescent="0.25">
      <c r="A7" s="452"/>
      <c r="B7" s="203"/>
      <c r="C7" s="479"/>
      <c r="D7" s="382"/>
      <c r="E7" s="380"/>
      <c r="F7" s="379"/>
      <c r="G7" s="383"/>
      <c r="H7" s="401"/>
      <c r="I7" s="382"/>
      <c r="J7" s="133" t="s">
        <v>1125</v>
      </c>
      <c r="K7" s="39" t="s">
        <v>1129</v>
      </c>
      <c r="L7" s="21">
        <v>1</v>
      </c>
      <c r="M7" s="134">
        <v>512</v>
      </c>
    </row>
    <row r="8" spans="1:13" s="10" customFormat="1" ht="48.6" customHeight="1" x14ac:dyDescent="0.25">
      <c r="A8" s="452"/>
      <c r="B8" s="203"/>
      <c r="C8" s="479"/>
      <c r="D8" s="382"/>
      <c r="E8" s="380"/>
      <c r="F8" s="379"/>
      <c r="G8" s="383"/>
      <c r="H8" s="401"/>
      <c r="I8" s="382"/>
      <c r="J8" s="133" t="s">
        <v>1126</v>
      </c>
      <c r="K8" s="39" t="s">
        <v>1130</v>
      </c>
      <c r="L8" s="21">
        <v>1</v>
      </c>
      <c r="M8" s="134">
        <v>299</v>
      </c>
    </row>
    <row r="9" spans="1:13" s="10" customFormat="1" ht="48.6" customHeight="1" x14ac:dyDescent="0.25">
      <c r="A9" s="453">
        <v>3</v>
      </c>
      <c r="B9" s="203"/>
      <c r="C9" s="203"/>
      <c r="D9" s="382">
        <v>45359</v>
      </c>
      <c r="E9" s="380">
        <v>2024031200004</v>
      </c>
      <c r="F9" s="379" t="s">
        <v>25</v>
      </c>
      <c r="G9" s="383" t="s">
        <v>1131</v>
      </c>
      <c r="H9" s="383" t="s">
        <v>1132</v>
      </c>
      <c r="I9" s="382">
        <v>45362</v>
      </c>
      <c r="J9" s="133" t="s">
        <v>1123</v>
      </c>
      <c r="K9" s="39" t="s">
        <v>1127</v>
      </c>
      <c r="L9" s="21">
        <v>155</v>
      </c>
      <c r="M9" s="134">
        <v>7285</v>
      </c>
    </row>
    <row r="10" spans="1:13" s="10" customFormat="1" ht="48.6" customHeight="1" x14ac:dyDescent="0.25">
      <c r="A10" s="453"/>
      <c r="B10" s="203"/>
      <c r="C10" s="203"/>
      <c r="D10" s="382"/>
      <c r="E10" s="380"/>
      <c r="F10" s="379"/>
      <c r="G10" s="383"/>
      <c r="H10" s="383"/>
      <c r="I10" s="382"/>
      <c r="J10" s="133" t="s">
        <v>1124</v>
      </c>
      <c r="K10" s="39" t="s">
        <v>1128</v>
      </c>
      <c r="L10" s="21">
        <v>10</v>
      </c>
      <c r="M10" s="134">
        <v>510</v>
      </c>
    </row>
    <row r="11" spans="1:13" s="10" customFormat="1" ht="48.6" customHeight="1" x14ac:dyDescent="0.25">
      <c r="A11" s="453"/>
      <c r="B11" s="203"/>
      <c r="C11" s="203"/>
      <c r="D11" s="382"/>
      <c r="E11" s="380"/>
      <c r="F11" s="379"/>
      <c r="G11" s="383"/>
      <c r="H11" s="383"/>
      <c r="I11" s="382"/>
      <c r="J11" s="133" t="s">
        <v>1133</v>
      </c>
      <c r="K11" s="39" t="s">
        <v>835</v>
      </c>
      <c r="L11" s="21">
        <v>3</v>
      </c>
      <c r="M11" s="134">
        <v>708</v>
      </c>
    </row>
    <row r="12" spans="1:13" s="10" customFormat="1" ht="48.6" customHeight="1" x14ac:dyDescent="0.25">
      <c r="A12" s="453"/>
      <c r="B12" s="203"/>
      <c r="C12" s="203"/>
      <c r="D12" s="382"/>
      <c r="E12" s="380"/>
      <c r="F12" s="379"/>
      <c r="G12" s="383"/>
      <c r="H12" s="383"/>
      <c r="I12" s="382"/>
      <c r="J12" s="133" t="s">
        <v>1083</v>
      </c>
      <c r="K12" s="39" t="s">
        <v>835</v>
      </c>
      <c r="L12" s="21">
        <v>1</v>
      </c>
      <c r="M12" s="134">
        <v>9845</v>
      </c>
    </row>
    <row r="13" spans="1:13" s="10" customFormat="1" ht="48.6" customHeight="1" x14ac:dyDescent="0.25">
      <c r="A13" s="453"/>
      <c r="B13" s="203"/>
      <c r="C13" s="203"/>
      <c r="D13" s="382"/>
      <c r="E13" s="380"/>
      <c r="F13" s="379"/>
      <c r="G13" s="383"/>
      <c r="H13" s="383"/>
      <c r="I13" s="382"/>
      <c r="J13" s="133" t="s">
        <v>1134</v>
      </c>
      <c r="K13" s="39" t="s">
        <v>1139</v>
      </c>
      <c r="L13" s="21">
        <v>1</v>
      </c>
      <c r="M13" s="134">
        <v>750</v>
      </c>
    </row>
    <row r="14" spans="1:13" s="10" customFormat="1" ht="48.6" customHeight="1" x14ac:dyDescent="0.25">
      <c r="A14" s="453"/>
      <c r="B14" s="203"/>
      <c r="C14" s="203"/>
      <c r="D14" s="382"/>
      <c r="E14" s="380"/>
      <c r="F14" s="379"/>
      <c r="G14" s="383"/>
      <c r="H14" s="383"/>
      <c r="I14" s="382"/>
      <c r="J14" s="133" t="s">
        <v>1135</v>
      </c>
      <c r="K14" s="39" t="s">
        <v>1140</v>
      </c>
      <c r="L14" s="21">
        <v>1</v>
      </c>
      <c r="M14" s="134">
        <v>1066</v>
      </c>
    </row>
    <row r="15" spans="1:13" s="10" customFormat="1" ht="48.6" customHeight="1" x14ac:dyDescent="0.25">
      <c r="A15" s="453"/>
      <c r="B15" s="203"/>
      <c r="C15" s="203"/>
      <c r="D15" s="382"/>
      <c r="E15" s="380"/>
      <c r="F15" s="379"/>
      <c r="G15" s="383"/>
      <c r="H15" s="383"/>
      <c r="I15" s="382"/>
      <c r="J15" s="133" t="s">
        <v>1136</v>
      </c>
      <c r="K15" s="39" t="s">
        <v>1141</v>
      </c>
      <c r="L15" s="21">
        <v>1</v>
      </c>
      <c r="M15" s="134">
        <v>299</v>
      </c>
    </row>
    <row r="16" spans="1:13" s="10" customFormat="1" ht="48.6" customHeight="1" x14ac:dyDescent="0.25">
      <c r="A16" s="453"/>
      <c r="B16" s="203"/>
      <c r="C16" s="203"/>
      <c r="D16" s="382"/>
      <c r="E16" s="380"/>
      <c r="F16" s="379"/>
      <c r="G16" s="383"/>
      <c r="H16" s="383"/>
      <c r="I16" s="382"/>
      <c r="J16" s="133" t="s">
        <v>1137</v>
      </c>
      <c r="K16" s="39" t="s">
        <v>1142</v>
      </c>
      <c r="L16" s="21">
        <v>1</v>
      </c>
      <c r="M16" s="134">
        <v>197</v>
      </c>
    </row>
    <row r="17" spans="1:13" s="10" customFormat="1" ht="48.6" customHeight="1" x14ac:dyDescent="0.25">
      <c r="A17" s="453"/>
      <c r="B17" s="203"/>
      <c r="C17" s="203"/>
      <c r="D17" s="382"/>
      <c r="E17" s="380"/>
      <c r="F17" s="379"/>
      <c r="G17" s="383"/>
      <c r="H17" s="383"/>
      <c r="I17" s="382"/>
      <c r="J17" s="133" t="s">
        <v>1138</v>
      </c>
      <c r="K17" s="39" t="s">
        <v>1143</v>
      </c>
      <c r="L17" s="21">
        <v>1</v>
      </c>
      <c r="M17" s="134">
        <v>3937</v>
      </c>
    </row>
    <row r="18" spans="1:13" s="10" customFormat="1" ht="88.2" customHeight="1" x14ac:dyDescent="0.25">
      <c r="A18" s="337">
        <v>4</v>
      </c>
      <c r="B18" s="203"/>
      <c r="C18" s="338">
        <v>1</v>
      </c>
      <c r="D18" s="113">
        <v>45362</v>
      </c>
      <c r="E18" s="151">
        <v>2024031400001</v>
      </c>
      <c r="F18" s="339" t="s">
        <v>25</v>
      </c>
      <c r="G18" s="81" t="s">
        <v>1144</v>
      </c>
      <c r="H18" s="81" t="s">
        <v>1145</v>
      </c>
      <c r="I18" s="113">
        <v>45363</v>
      </c>
      <c r="J18" s="133" t="s">
        <v>1146</v>
      </c>
      <c r="K18" s="39" t="s">
        <v>1129</v>
      </c>
      <c r="L18" s="21">
        <v>1</v>
      </c>
      <c r="M18" s="41">
        <v>197</v>
      </c>
    </row>
    <row r="19" spans="1:13" s="10" customFormat="1" ht="70.05" customHeight="1" thickBot="1" x14ac:dyDescent="0.3">
      <c r="A19" s="341"/>
      <c r="B19" s="335"/>
      <c r="C19" s="335"/>
      <c r="D19" s="335"/>
      <c r="E19" s="335"/>
      <c r="F19" s="335"/>
      <c r="G19" s="335"/>
      <c r="H19" s="335"/>
      <c r="I19" s="336"/>
      <c r="J19" s="402" t="s">
        <v>805</v>
      </c>
      <c r="K19" s="403"/>
      <c r="L19" s="404"/>
      <c r="M19" s="285">
        <f>SUM(M4:M18)</f>
        <v>29167</v>
      </c>
    </row>
  </sheetData>
  <autoFilter ref="A3:M19" xr:uid="{00000000-0009-0000-0000-000008000000}"/>
  <mergeCells count="19">
    <mergeCell ref="J19:L19"/>
    <mergeCell ref="A9:A17"/>
    <mergeCell ref="D9:D17"/>
    <mergeCell ref="E9:E17"/>
    <mergeCell ref="F9:F17"/>
    <mergeCell ref="G9:G17"/>
    <mergeCell ref="H9:H17"/>
    <mergeCell ref="I9:I17"/>
    <mergeCell ref="I5:I8"/>
    <mergeCell ref="A1:M1"/>
    <mergeCell ref="A2:G2"/>
    <mergeCell ref="H2:M2"/>
    <mergeCell ref="A5:A8"/>
    <mergeCell ref="C5:C8"/>
    <mergeCell ref="D5:D8"/>
    <mergeCell ref="E5:E8"/>
    <mergeCell ref="F5:F8"/>
    <mergeCell ref="G5:G8"/>
    <mergeCell ref="H5:H8"/>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M13"/>
  <sheetViews>
    <sheetView view="pageBreakPreview" zoomScale="40" zoomScaleNormal="40" zoomScaleSheetLayoutView="40" workbookViewId="0">
      <pane ySplit="1" topLeftCell="A2" activePane="bottomLeft" state="frozen"/>
      <selection pane="bottomLeft" activeCell="H5" sqref="H5:H6"/>
    </sheetView>
  </sheetViews>
  <sheetFormatPr defaultColWidth="14.44140625" defaultRowHeight="15.75" customHeight="1" x14ac:dyDescent="0.25"/>
  <cols>
    <col min="1" max="1" width="8.33203125" customWidth="1"/>
    <col min="2" max="3" width="9.109375" hidden="1" customWidth="1"/>
    <col min="4" max="4" width="30" bestFit="1" customWidth="1"/>
    <col min="5" max="5" width="30.21875" style="1" customWidth="1"/>
    <col min="6" max="6" width="25.6640625" customWidth="1"/>
    <col min="7" max="7" width="30.33203125" customWidth="1"/>
    <col min="8" max="8" width="80.6640625" style="53" customWidth="1"/>
    <col min="9" max="9" width="25.6640625" customWidth="1"/>
    <col min="10" max="10" width="24.5546875" style="53" customWidth="1"/>
    <col min="11" max="11" width="10.77734375" style="1" customWidth="1"/>
    <col min="12" max="12" width="14.109375" style="1" customWidth="1"/>
    <col min="13" max="13" width="30.6640625" style="12" customWidth="1"/>
    <col min="17" max="17" width="18.77734375" bestFit="1" customWidth="1"/>
  </cols>
  <sheetData>
    <row r="1" spans="1:13" ht="50.1" customHeight="1" x14ac:dyDescent="0.25">
      <c r="A1" s="454" t="s">
        <v>11</v>
      </c>
      <c r="B1" s="455"/>
      <c r="C1" s="455"/>
      <c r="D1" s="455"/>
      <c r="E1" s="455"/>
      <c r="F1" s="455"/>
      <c r="G1" s="455"/>
      <c r="H1" s="455"/>
      <c r="I1" s="455"/>
      <c r="J1" s="455"/>
      <c r="K1" s="455"/>
      <c r="L1" s="455"/>
      <c r="M1" s="456"/>
    </row>
    <row r="2" spans="1:13" s="8" customFormat="1" ht="50.1" customHeight="1" thickBot="1" x14ac:dyDescent="0.35">
      <c r="A2" s="483" t="s">
        <v>12</v>
      </c>
      <c r="B2" s="484"/>
      <c r="C2" s="484"/>
      <c r="D2" s="484"/>
      <c r="E2" s="484"/>
      <c r="F2" s="484"/>
      <c r="G2" s="484"/>
      <c r="H2" s="485" t="s">
        <v>1096</v>
      </c>
      <c r="I2" s="485"/>
      <c r="J2" s="485"/>
      <c r="K2" s="485"/>
      <c r="L2" s="485"/>
      <c r="M2" s="486"/>
    </row>
    <row r="3" spans="1:13" s="10" customFormat="1" ht="50.1" customHeight="1" x14ac:dyDescent="0.25">
      <c r="A3" s="328" t="s">
        <v>23</v>
      </c>
      <c r="B3" s="329" t="s">
        <v>23</v>
      </c>
      <c r="C3" s="329" t="s">
        <v>653</v>
      </c>
      <c r="D3" s="330" t="s">
        <v>224</v>
      </c>
      <c r="E3" s="331" t="s">
        <v>22</v>
      </c>
      <c r="F3" s="332" t="s">
        <v>0</v>
      </c>
      <c r="G3" s="332" t="s">
        <v>2</v>
      </c>
      <c r="H3" s="332" t="s">
        <v>19</v>
      </c>
      <c r="I3" s="330" t="s">
        <v>1</v>
      </c>
      <c r="J3" s="330" t="s">
        <v>15</v>
      </c>
      <c r="K3" s="330" t="s">
        <v>592</v>
      </c>
      <c r="L3" s="330" t="s">
        <v>591</v>
      </c>
      <c r="M3" s="333" t="s">
        <v>804</v>
      </c>
    </row>
    <row r="4" spans="1:13" s="10" customFormat="1" ht="80.400000000000006" customHeight="1" x14ac:dyDescent="0.25">
      <c r="A4" s="334">
        <v>1</v>
      </c>
      <c r="B4" s="338">
        <v>1</v>
      </c>
      <c r="C4" s="338">
        <v>1</v>
      </c>
      <c r="D4" s="314">
        <v>45337</v>
      </c>
      <c r="E4" s="151">
        <v>2024021500002</v>
      </c>
      <c r="F4" s="150" t="s">
        <v>454</v>
      </c>
      <c r="G4" s="81" t="s">
        <v>1097</v>
      </c>
      <c r="H4" s="167" t="s">
        <v>1098</v>
      </c>
      <c r="I4" s="314">
        <v>45338</v>
      </c>
      <c r="J4" s="83" t="s">
        <v>1114</v>
      </c>
      <c r="K4" s="39" t="s">
        <v>1099</v>
      </c>
      <c r="L4" s="21">
        <v>1</v>
      </c>
      <c r="M4" s="41">
        <v>299</v>
      </c>
    </row>
    <row r="5" spans="1:13" s="10" customFormat="1" ht="61.8" customHeight="1" x14ac:dyDescent="0.25">
      <c r="A5" s="441">
        <v>2</v>
      </c>
      <c r="B5" s="203">
        <v>4</v>
      </c>
      <c r="C5" s="500">
        <v>1</v>
      </c>
      <c r="D5" s="412">
        <v>45337</v>
      </c>
      <c r="E5" s="414">
        <v>2024021500001</v>
      </c>
      <c r="F5" s="463" t="s">
        <v>454</v>
      </c>
      <c r="G5" s="491" t="s">
        <v>1100</v>
      </c>
      <c r="H5" s="494" t="s">
        <v>1101</v>
      </c>
      <c r="I5" s="412">
        <v>45338</v>
      </c>
      <c r="J5" s="133" t="s">
        <v>1102</v>
      </c>
      <c r="K5" s="39" t="s">
        <v>1103</v>
      </c>
      <c r="L5" s="21">
        <v>1</v>
      </c>
      <c r="M5" s="134">
        <v>213</v>
      </c>
    </row>
    <row r="6" spans="1:13" s="10" customFormat="1" ht="61.8" customHeight="1" x14ac:dyDescent="0.25">
      <c r="A6" s="443"/>
      <c r="B6" s="203"/>
      <c r="C6" s="501"/>
      <c r="D6" s="413"/>
      <c r="E6" s="415"/>
      <c r="F6" s="464"/>
      <c r="G6" s="493"/>
      <c r="H6" s="496"/>
      <c r="I6" s="413"/>
      <c r="J6" s="133" t="s">
        <v>630</v>
      </c>
      <c r="K6" s="39" t="s">
        <v>1104</v>
      </c>
      <c r="L6" s="21">
        <v>20</v>
      </c>
      <c r="M6" s="134">
        <v>2840</v>
      </c>
    </row>
    <row r="7" spans="1:13" s="10" customFormat="1" ht="88.2" customHeight="1" x14ac:dyDescent="0.25">
      <c r="A7" s="342">
        <v>3</v>
      </c>
      <c r="B7" s="203"/>
      <c r="C7" s="343">
        <v>1</v>
      </c>
      <c r="D7" s="344">
        <v>45338</v>
      </c>
      <c r="E7" s="218">
        <v>2024021900004</v>
      </c>
      <c r="F7" s="345" t="s">
        <v>395</v>
      </c>
      <c r="G7" s="220" t="s">
        <v>1105</v>
      </c>
      <c r="H7" s="220" t="s">
        <v>1106</v>
      </c>
      <c r="I7" s="314">
        <v>45341</v>
      </c>
      <c r="J7" s="133" t="s">
        <v>1107</v>
      </c>
      <c r="K7" s="39" t="s">
        <v>1108</v>
      </c>
      <c r="L7" s="21">
        <v>1</v>
      </c>
      <c r="M7" s="41">
        <v>551</v>
      </c>
    </row>
    <row r="8" spans="1:13" s="10" customFormat="1" ht="54.6" customHeight="1" x14ac:dyDescent="0.25">
      <c r="A8" s="441">
        <v>4</v>
      </c>
      <c r="B8" s="203"/>
      <c r="C8" s="500">
        <v>1</v>
      </c>
      <c r="D8" s="515">
        <v>45345</v>
      </c>
      <c r="E8" s="414">
        <v>2024022800001</v>
      </c>
      <c r="F8" s="463" t="s">
        <v>454</v>
      </c>
      <c r="G8" s="491" t="s">
        <v>1109</v>
      </c>
      <c r="H8" s="491" t="s">
        <v>1110</v>
      </c>
      <c r="I8" s="412">
        <v>45348</v>
      </c>
      <c r="J8" s="180" t="s">
        <v>598</v>
      </c>
      <c r="K8" s="299" t="s">
        <v>1112</v>
      </c>
      <c r="L8" s="300">
        <v>1</v>
      </c>
      <c r="M8" s="321">
        <v>9845</v>
      </c>
    </row>
    <row r="9" spans="1:13" s="10" customFormat="1" ht="54.6" customHeight="1" x14ac:dyDescent="0.25">
      <c r="A9" s="442"/>
      <c r="B9" s="203"/>
      <c r="C9" s="502"/>
      <c r="D9" s="516"/>
      <c r="E9" s="419"/>
      <c r="F9" s="475"/>
      <c r="G9" s="492"/>
      <c r="H9" s="492"/>
      <c r="I9" s="418"/>
      <c r="J9" s="180" t="s">
        <v>599</v>
      </c>
      <c r="K9" s="299" t="s">
        <v>1047</v>
      </c>
      <c r="L9" s="300">
        <v>1</v>
      </c>
      <c r="M9" s="321">
        <v>750</v>
      </c>
    </row>
    <row r="10" spans="1:13" s="10" customFormat="1" ht="54.6" customHeight="1" x14ac:dyDescent="0.25">
      <c r="A10" s="442"/>
      <c r="B10" s="203"/>
      <c r="C10" s="502"/>
      <c r="D10" s="516"/>
      <c r="E10" s="419"/>
      <c r="F10" s="475"/>
      <c r="G10" s="492"/>
      <c r="H10" s="492"/>
      <c r="I10" s="418"/>
      <c r="J10" s="180" t="s">
        <v>1111</v>
      </c>
      <c r="K10" s="39" t="s">
        <v>1113</v>
      </c>
      <c r="L10" s="300">
        <v>5</v>
      </c>
      <c r="M10" s="321">
        <v>1970</v>
      </c>
    </row>
    <row r="11" spans="1:13" s="10" customFormat="1" ht="54.6" customHeight="1" x14ac:dyDescent="0.25">
      <c r="A11" s="442"/>
      <c r="B11" s="203"/>
      <c r="C11" s="502"/>
      <c r="D11" s="516"/>
      <c r="E11" s="419"/>
      <c r="F11" s="475"/>
      <c r="G11" s="492"/>
      <c r="H11" s="492"/>
      <c r="I11" s="418"/>
      <c r="J11" s="180" t="s">
        <v>624</v>
      </c>
      <c r="K11" s="39" t="s">
        <v>1108</v>
      </c>
      <c r="L11" s="300">
        <v>1</v>
      </c>
      <c r="M11" s="321">
        <v>1102</v>
      </c>
    </row>
    <row r="12" spans="1:13" s="10" customFormat="1" ht="54.6" customHeight="1" x14ac:dyDescent="0.25">
      <c r="A12" s="443"/>
      <c r="B12" s="203"/>
      <c r="C12" s="501"/>
      <c r="D12" s="517"/>
      <c r="E12" s="415"/>
      <c r="F12" s="464"/>
      <c r="G12" s="493"/>
      <c r="H12" s="493"/>
      <c r="I12" s="413"/>
      <c r="J12" s="180" t="s">
        <v>603</v>
      </c>
      <c r="K12" s="39" t="s">
        <v>604</v>
      </c>
      <c r="L12" s="300">
        <v>1</v>
      </c>
      <c r="M12" s="321">
        <v>299</v>
      </c>
    </row>
    <row r="13" spans="1:13" s="10" customFormat="1" ht="70.05" customHeight="1" thickBot="1" x14ac:dyDescent="0.3">
      <c r="A13" s="341"/>
      <c r="B13" s="335"/>
      <c r="C13" s="335"/>
      <c r="D13" s="335"/>
      <c r="E13" s="335"/>
      <c r="F13" s="335"/>
      <c r="G13" s="335"/>
      <c r="H13" s="335"/>
      <c r="I13" s="336"/>
      <c r="J13" s="402" t="s">
        <v>805</v>
      </c>
      <c r="K13" s="403"/>
      <c r="L13" s="404"/>
      <c r="M13" s="285">
        <f>SUM(M4:M12)</f>
        <v>17869</v>
      </c>
    </row>
  </sheetData>
  <autoFilter ref="A3:M13" xr:uid="{00000000-0009-0000-0000-000009000000}"/>
  <mergeCells count="20">
    <mergeCell ref="E8:E12"/>
    <mergeCell ref="F8:F12"/>
    <mergeCell ref="G8:G12"/>
    <mergeCell ref="H8:H12"/>
    <mergeCell ref="I8:I12"/>
    <mergeCell ref="A1:M1"/>
    <mergeCell ref="A2:G2"/>
    <mergeCell ref="H2:M2"/>
    <mergeCell ref="J13:L13"/>
    <mergeCell ref="A5:A6"/>
    <mergeCell ref="C5:C6"/>
    <mergeCell ref="D5:D6"/>
    <mergeCell ref="E5:E6"/>
    <mergeCell ref="F5:F6"/>
    <mergeCell ref="G5:G6"/>
    <mergeCell ref="H5:H6"/>
    <mergeCell ref="I5:I6"/>
    <mergeCell ref="A8:A12"/>
    <mergeCell ref="C8:C12"/>
    <mergeCell ref="D8:D12"/>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M32"/>
  <sheetViews>
    <sheetView view="pageBreakPreview" zoomScale="40" zoomScaleNormal="40" zoomScaleSheetLayoutView="40" workbookViewId="0">
      <pane ySplit="1" topLeftCell="A5" activePane="bottomLeft" state="frozen"/>
      <selection pane="bottomLeft" activeCell="P21" sqref="P21"/>
    </sheetView>
  </sheetViews>
  <sheetFormatPr defaultColWidth="14.44140625" defaultRowHeight="15.75" customHeight="1" x14ac:dyDescent="0.25"/>
  <cols>
    <col min="1" max="1" width="8.33203125" customWidth="1"/>
    <col min="2" max="2" width="9.109375" hidden="1" customWidth="1"/>
    <col min="3" max="3" width="9.109375" customWidth="1"/>
    <col min="4" max="4" width="30" bestFit="1" customWidth="1"/>
    <col min="5" max="5" width="30.21875" style="1" customWidth="1"/>
    <col min="6" max="6" width="25.6640625" customWidth="1"/>
    <col min="7" max="7" width="30.33203125" customWidth="1"/>
    <col min="8" max="8" width="80.6640625" style="53" customWidth="1"/>
    <col min="9" max="9" width="25.6640625" customWidth="1"/>
    <col min="10" max="10" width="24.5546875" style="53" customWidth="1"/>
    <col min="11" max="11" width="10.77734375" style="1" customWidth="1"/>
    <col min="12" max="12" width="14.109375" style="1" customWidth="1"/>
    <col min="13" max="13" width="30.6640625" style="12" customWidth="1"/>
    <col min="17" max="17" width="18.77734375" bestFit="1" customWidth="1"/>
  </cols>
  <sheetData>
    <row r="1" spans="1:13" ht="50.1" customHeight="1" x14ac:dyDescent="0.25">
      <c r="A1" s="454" t="s">
        <v>11</v>
      </c>
      <c r="B1" s="455"/>
      <c r="C1" s="455"/>
      <c r="D1" s="455"/>
      <c r="E1" s="455"/>
      <c r="F1" s="455"/>
      <c r="G1" s="455"/>
      <c r="H1" s="455"/>
      <c r="I1" s="455"/>
      <c r="J1" s="455"/>
      <c r="K1" s="455"/>
      <c r="L1" s="455"/>
      <c r="M1" s="456"/>
    </row>
    <row r="2" spans="1:13" s="8" customFormat="1" ht="50.1" customHeight="1" thickBot="1" x14ac:dyDescent="0.35">
      <c r="A2" s="483" t="s">
        <v>12</v>
      </c>
      <c r="B2" s="484"/>
      <c r="C2" s="484"/>
      <c r="D2" s="484"/>
      <c r="E2" s="484"/>
      <c r="F2" s="484"/>
      <c r="G2" s="484"/>
      <c r="H2" s="485" t="s">
        <v>1038</v>
      </c>
      <c r="I2" s="485"/>
      <c r="J2" s="485"/>
      <c r="K2" s="485"/>
      <c r="L2" s="485"/>
      <c r="M2" s="486"/>
    </row>
    <row r="3" spans="1:13" s="10" customFormat="1" ht="50.1" customHeight="1" x14ac:dyDescent="0.25">
      <c r="A3" s="328" t="s">
        <v>23</v>
      </c>
      <c r="B3" s="329" t="s">
        <v>23</v>
      </c>
      <c r="C3" s="329" t="s">
        <v>653</v>
      </c>
      <c r="D3" s="330" t="s">
        <v>224</v>
      </c>
      <c r="E3" s="331" t="s">
        <v>22</v>
      </c>
      <c r="F3" s="332" t="s">
        <v>0</v>
      </c>
      <c r="G3" s="332" t="s">
        <v>2</v>
      </c>
      <c r="H3" s="332" t="s">
        <v>19</v>
      </c>
      <c r="I3" s="330" t="s">
        <v>1</v>
      </c>
      <c r="J3" s="330" t="s">
        <v>15</v>
      </c>
      <c r="K3" s="330" t="s">
        <v>592</v>
      </c>
      <c r="L3" s="330" t="s">
        <v>591</v>
      </c>
      <c r="M3" s="333" t="s">
        <v>804</v>
      </c>
    </row>
    <row r="4" spans="1:13" s="10" customFormat="1" ht="105.6" customHeight="1" x14ac:dyDescent="0.25">
      <c r="A4" s="334">
        <v>1</v>
      </c>
      <c r="B4" s="338">
        <v>1</v>
      </c>
      <c r="C4" s="338">
        <v>1</v>
      </c>
      <c r="D4" s="314">
        <v>45298</v>
      </c>
      <c r="E4" s="151">
        <v>2024010800001</v>
      </c>
      <c r="F4" s="150" t="s">
        <v>454</v>
      </c>
      <c r="G4" s="167" t="s">
        <v>1039</v>
      </c>
      <c r="H4" s="81" t="s">
        <v>1040</v>
      </c>
      <c r="I4" s="314">
        <v>45299</v>
      </c>
      <c r="J4" s="83" t="s">
        <v>1041</v>
      </c>
      <c r="K4" s="39" t="s">
        <v>1042</v>
      </c>
      <c r="L4" s="21">
        <v>1</v>
      </c>
      <c r="M4" s="41">
        <v>1066</v>
      </c>
    </row>
    <row r="5" spans="1:13" s="10" customFormat="1" ht="115.2" customHeight="1" x14ac:dyDescent="0.25">
      <c r="A5" s="441">
        <v>2</v>
      </c>
      <c r="B5" s="203">
        <v>2</v>
      </c>
      <c r="C5" s="203">
        <v>1</v>
      </c>
      <c r="D5" s="113">
        <v>45298</v>
      </c>
      <c r="E5" s="151">
        <v>2024010800003</v>
      </c>
      <c r="F5" s="150" t="s">
        <v>454</v>
      </c>
      <c r="G5" s="167" t="s">
        <v>1043</v>
      </c>
      <c r="H5" s="81" t="s">
        <v>1044</v>
      </c>
      <c r="I5" s="314">
        <v>45299</v>
      </c>
      <c r="J5" s="83" t="s">
        <v>605</v>
      </c>
      <c r="K5" s="39" t="s">
        <v>600</v>
      </c>
      <c r="L5" s="21">
        <v>1</v>
      </c>
      <c r="M5" s="41">
        <v>1066</v>
      </c>
    </row>
    <row r="6" spans="1:13" s="10" customFormat="1" ht="96" customHeight="1" x14ac:dyDescent="0.25">
      <c r="A6" s="442"/>
      <c r="B6" s="338">
        <v>3</v>
      </c>
      <c r="C6" s="203">
        <v>2</v>
      </c>
      <c r="D6" s="314">
        <v>45299</v>
      </c>
      <c r="E6" s="151">
        <v>2024010900001</v>
      </c>
      <c r="F6" s="150" t="s">
        <v>454</v>
      </c>
      <c r="G6" s="167" t="s">
        <v>1045</v>
      </c>
      <c r="H6" s="81" t="s">
        <v>1046</v>
      </c>
      <c r="I6" s="314">
        <v>45300</v>
      </c>
      <c r="J6" s="133" t="s">
        <v>1078</v>
      </c>
      <c r="K6" s="39" t="s">
        <v>1047</v>
      </c>
      <c r="L6" s="21">
        <v>1</v>
      </c>
      <c r="M6" s="134">
        <v>1535</v>
      </c>
    </row>
    <row r="7" spans="1:13" s="10" customFormat="1" ht="96" customHeight="1" x14ac:dyDescent="0.25">
      <c r="A7" s="442"/>
      <c r="B7" s="338"/>
      <c r="C7" s="203">
        <v>3</v>
      </c>
      <c r="D7" s="113">
        <v>45299</v>
      </c>
      <c r="E7" s="218">
        <v>2024010900005</v>
      </c>
      <c r="F7" s="219" t="s">
        <v>454</v>
      </c>
      <c r="G7" s="205" t="s">
        <v>1052</v>
      </c>
      <c r="H7" s="220" t="s">
        <v>1053</v>
      </c>
      <c r="I7" s="314">
        <v>45300</v>
      </c>
      <c r="J7" s="133" t="s">
        <v>1080</v>
      </c>
      <c r="K7" s="39" t="s">
        <v>704</v>
      </c>
      <c r="L7" s="21">
        <v>3</v>
      </c>
      <c r="M7" s="41">
        <f>47*L7</f>
        <v>141</v>
      </c>
    </row>
    <row r="8" spans="1:13" s="10" customFormat="1" ht="34.799999999999997" customHeight="1" x14ac:dyDescent="0.25">
      <c r="A8" s="442"/>
      <c r="B8" s="338"/>
      <c r="C8" s="503" t="s">
        <v>1076</v>
      </c>
      <c r="D8" s="504"/>
      <c r="E8" s="504"/>
      <c r="F8" s="504"/>
      <c r="G8" s="504"/>
      <c r="H8" s="504"/>
      <c r="I8" s="505"/>
      <c r="J8" s="133" t="s">
        <v>1081</v>
      </c>
      <c r="K8" s="39" t="s">
        <v>704</v>
      </c>
      <c r="L8" s="21">
        <v>3</v>
      </c>
      <c r="M8" s="41">
        <f>47*L8</f>
        <v>141</v>
      </c>
    </row>
    <row r="9" spans="1:13" s="10" customFormat="1" ht="34.799999999999997" customHeight="1" x14ac:dyDescent="0.25">
      <c r="A9" s="442"/>
      <c r="B9" s="338"/>
      <c r="C9" s="506"/>
      <c r="D9" s="507"/>
      <c r="E9" s="507"/>
      <c r="F9" s="507"/>
      <c r="G9" s="507"/>
      <c r="H9" s="507"/>
      <c r="I9" s="508"/>
      <c r="J9" s="133" t="s">
        <v>1077</v>
      </c>
      <c r="K9" s="39" t="s">
        <v>600</v>
      </c>
      <c r="L9" s="21">
        <v>1</v>
      </c>
      <c r="M9" s="41">
        <v>1066</v>
      </c>
    </row>
    <row r="10" spans="1:13" s="10" customFormat="1" ht="34.799999999999997" customHeight="1" x14ac:dyDescent="0.25">
      <c r="A10" s="442"/>
      <c r="B10" s="338"/>
      <c r="C10" s="506"/>
      <c r="D10" s="507"/>
      <c r="E10" s="507"/>
      <c r="F10" s="507"/>
      <c r="G10" s="507"/>
      <c r="H10" s="507"/>
      <c r="I10" s="508"/>
      <c r="J10" s="133" t="s">
        <v>1079</v>
      </c>
      <c r="K10" s="39" t="s">
        <v>1047</v>
      </c>
      <c r="L10" s="21">
        <v>1</v>
      </c>
      <c r="M10" s="134">
        <v>1535</v>
      </c>
    </row>
    <row r="11" spans="1:13" s="10" customFormat="1" ht="34.799999999999997" customHeight="1" x14ac:dyDescent="0.25">
      <c r="A11" s="443"/>
      <c r="B11" s="338"/>
      <c r="C11" s="509"/>
      <c r="D11" s="510"/>
      <c r="E11" s="510"/>
      <c r="F11" s="510"/>
      <c r="G11" s="510"/>
      <c r="H11" s="510"/>
      <c r="I11" s="511"/>
      <c r="J11" s="512" t="s">
        <v>1093</v>
      </c>
      <c r="K11" s="513"/>
      <c r="L11" s="514"/>
      <c r="M11" s="134">
        <f>SUM(M8:M10)</f>
        <v>2742</v>
      </c>
    </row>
    <row r="12" spans="1:13" s="10" customFormat="1" ht="95.4" customHeight="1" x14ac:dyDescent="0.25">
      <c r="A12" s="334">
        <v>3</v>
      </c>
      <c r="B12" s="203">
        <v>4</v>
      </c>
      <c r="C12" s="338">
        <v>1</v>
      </c>
      <c r="D12" s="314">
        <v>45299</v>
      </c>
      <c r="E12" s="151">
        <v>2024010900003</v>
      </c>
      <c r="F12" s="150" t="s">
        <v>454</v>
      </c>
      <c r="G12" s="167" t="s">
        <v>1048</v>
      </c>
      <c r="H12" s="81" t="s">
        <v>1049</v>
      </c>
      <c r="I12" s="314">
        <v>45300</v>
      </c>
      <c r="J12" s="133" t="s">
        <v>1050</v>
      </c>
      <c r="K12" s="39" t="s">
        <v>1051</v>
      </c>
      <c r="L12" s="21">
        <v>8</v>
      </c>
      <c r="M12" s="134">
        <v>376</v>
      </c>
    </row>
    <row r="13" spans="1:13" s="10" customFormat="1" ht="62.4" customHeight="1" x14ac:dyDescent="0.25">
      <c r="A13" s="441">
        <v>4</v>
      </c>
      <c r="B13" s="338"/>
      <c r="C13" s="500">
        <v>1</v>
      </c>
      <c r="D13" s="412">
        <v>45299</v>
      </c>
      <c r="E13" s="414">
        <v>2024011100005</v>
      </c>
      <c r="F13" s="463" t="s">
        <v>454</v>
      </c>
      <c r="G13" s="494" t="s">
        <v>1054</v>
      </c>
      <c r="H13" s="491" t="s">
        <v>1055</v>
      </c>
      <c r="I13" s="412">
        <v>45300</v>
      </c>
      <c r="J13" s="133" t="s">
        <v>1083</v>
      </c>
      <c r="K13" s="39" t="s">
        <v>1058</v>
      </c>
      <c r="L13" s="21">
        <v>1</v>
      </c>
      <c r="M13" s="41">
        <v>9845</v>
      </c>
    </row>
    <row r="14" spans="1:13" s="10" customFormat="1" ht="62.4" customHeight="1" x14ac:dyDescent="0.25">
      <c r="A14" s="442"/>
      <c r="B14" s="203">
        <v>6</v>
      </c>
      <c r="C14" s="501"/>
      <c r="D14" s="413"/>
      <c r="E14" s="415"/>
      <c r="F14" s="464"/>
      <c r="G14" s="496"/>
      <c r="H14" s="493"/>
      <c r="I14" s="413"/>
      <c r="J14" s="133" t="s">
        <v>599</v>
      </c>
      <c r="K14" s="39" t="s">
        <v>1047</v>
      </c>
      <c r="L14" s="21">
        <v>1</v>
      </c>
      <c r="M14" s="41">
        <v>750</v>
      </c>
    </row>
    <row r="15" spans="1:13" s="10" customFormat="1" ht="62.4" customHeight="1" x14ac:dyDescent="0.25">
      <c r="A15" s="442"/>
      <c r="B15" s="203"/>
      <c r="C15" s="500">
        <v>2</v>
      </c>
      <c r="D15" s="382">
        <v>45299</v>
      </c>
      <c r="E15" s="380">
        <v>2024011100007</v>
      </c>
      <c r="F15" s="379" t="s">
        <v>454</v>
      </c>
      <c r="G15" s="401" t="s">
        <v>1061</v>
      </c>
      <c r="H15" s="383" t="s">
        <v>1062</v>
      </c>
      <c r="I15" s="382">
        <v>45300</v>
      </c>
      <c r="J15" s="133" t="s">
        <v>598</v>
      </c>
      <c r="K15" s="39" t="s">
        <v>595</v>
      </c>
      <c r="L15" s="21">
        <v>1</v>
      </c>
      <c r="M15" s="41">
        <v>9845</v>
      </c>
    </row>
    <row r="16" spans="1:13" s="10" customFormat="1" ht="62.4" customHeight="1" x14ac:dyDescent="0.25">
      <c r="A16" s="442"/>
      <c r="B16" s="203"/>
      <c r="C16" s="501"/>
      <c r="D16" s="382"/>
      <c r="E16" s="380"/>
      <c r="F16" s="379"/>
      <c r="G16" s="401"/>
      <c r="H16" s="383"/>
      <c r="I16" s="382"/>
      <c r="J16" s="133" t="s">
        <v>599</v>
      </c>
      <c r="K16" s="39" t="s">
        <v>1047</v>
      </c>
      <c r="L16" s="21">
        <v>1</v>
      </c>
      <c r="M16" s="41">
        <v>750</v>
      </c>
    </row>
    <row r="17" spans="1:13" s="10" customFormat="1" ht="62.4" customHeight="1" x14ac:dyDescent="0.25">
      <c r="A17" s="442"/>
      <c r="B17" s="203"/>
      <c r="C17" s="500">
        <v>3</v>
      </c>
      <c r="D17" s="412">
        <v>45299</v>
      </c>
      <c r="E17" s="414">
        <v>2024011100006</v>
      </c>
      <c r="F17" s="463" t="s">
        <v>454</v>
      </c>
      <c r="G17" s="494" t="s">
        <v>1059</v>
      </c>
      <c r="H17" s="491" t="s">
        <v>1060</v>
      </c>
      <c r="I17" s="412">
        <v>45300</v>
      </c>
      <c r="J17" s="133" t="s">
        <v>1056</v>
      </c>
      <c r="K17" s="39" t="s">
        <v>1058</v>
      </c>
      <c r="L17" s="21">
        <v>1</v>
      </c>
      <c r="M17" s="41">
        <v>9845</v>
      </c>
    </row>
    <row r="18" spans="1:13" s="10" customFormat="1" ht="62.4" customHeight="1" x14ac:dyDescent="0.25">
      <c r="A18" s="442"/>
      <c r="B18" s="338"/>
      <c r="C18" s="501"/>
      <c r="D18" s="413"/>
      <c r="E18" s="415"/>
      <c r="F18" s="464"/>
      <c r="G18" s="496"/>
      <c r="H18" s="493"/>
      <c r="I18" s="413"/>
      <c r="J18" s="133" t="s">
        <v>1057</v>
      </c>
      <c r="K18" s="39" t="s">
        <v>1047</v>
      </c>
      <c r="L18" s="21">
        <v>1</v>
      </c>
      <c r="M18" s="41">
        <v>750</v>
      </c>
    </row>
    <row r="19" spans="1:13" s="10" customFormat="1" ht="51.6" customHeight="1" x14ac:dyDescent="0.25">
      <c r="A19" s="442"/>
      <c r="B19" s="338"/>
      <c r="C19" s="503" t="s">
        <v>1194</v>
      </c>
      <c r="D19" s="504"/>
      <c r="E19" s="504"/>
      <c r="F19" s="504"/>
      <c r="G19" s="504"/>
      <c r="H19" s="504"/>
      <c r="I19" s="505"/>
      <c r="J19" s="133" t="s">
        <v>1084</v>
      </c>
      <c r="K19" s="39" t="s">
        <v>595</v>
      </c>
      <c r="L19" s="21">
        <v>3</v>
      </c>
      <c r="M19" s="41">
        <v>29535</v>
      </c>
    </row>
    <row r="20" spans="1:13" s="10" customFormat="1" ht="51.6" customHeight="1" x14ac:dyDescent="0.25">
      <c r="A20" s="442"/>
      <c r="B20" s="338"/>
      <c r="C20" s="506"/>
      <c r="D20" s="507"/>
      <c r="E20" s="507"/>
      <c r="F20" s="507"/>
      <c r="G20" s="507"/>
      <c r="H20" s="507"/>
      <c r="I20" s="508"/>
      <c r="J20" s="133" t="s">
        <v>1085</v>
      </c>
      <c r="K20" s="39" t="s">
        <v>1047</v>
      </c>
      <c r="L20" s="21">
        <v>3</v>
      </c>
      <c r="M20" s="41">
        <v>2250</v>
      </c>
    </row>
    <row r="21" spans="1:13" s="10" customFormat="1" ht="38.4" customHeight="1" x14ac:dyDescent="0.25">
      <c r="A21" s="443"/>
      <c r="B21" s="338"/>
      <c r="C21" s="509"/>
      <c r="D21" s="510"/>
      <c r="E21" s="510"/>
      <c r="F21" s="510"/>
      <c r="G21" s="510"/>
      <c r="H21" s="510"/>
      <c r="I21" s="511"/>
      <c r="J21" s="512" t="s">
        <v>1094</v>
      </c>
      <c r="K21" s="513"/>
      <c r="L21" s="514"/>
      <c r="M21" s="41">
        <f>SUM(M19:M20)</f>
        <v>31785</v>
      </c>
    </row>
    <row r="22" spans="1:13" s="10" customFormat="1" ht="62.4" customHeight="1" x14ac:dyDescent="0.25">
      <c r="A22" s="436">
        <v>5</v>
      </c>
      <c r="B22" s="203"/>
      <c r="C22" s="487">
        <v>1</v>
      </c>
      <c r="D22" s="518">
        <v>45299</v>
      </c>
      <c r="E22" s="428">
        <v>2024013000002</v>
      </c>
      <c r="F22" s="379" t="s">
        <v>454</v>
      </c>
      <c r="G22" s="429" t="s">
        <v>1063</v>
      </c>
      <c r="H22" s="378" t="s">
        <v>1064</v>
      </c>
      <c r="I22" s="426">
        <v>45300</v>
      </c>
      <c r="J22" s="133" t="s">
        <v>1056</v>
      </c>
      <c r="K22" s="39" t="s">
        <v>1058</v>
      </c>
      <c r="L22" s="21">
        <v>1</v>
      </c>
      <c r="M22" s="41">
        <v>9845</v>
      </c>
    </row>
    <row r="23" spans="1:13" s="10" customFormat="1" ht="62.4" customHeight="1" x14ac:dyDescent="0.25">
      <c r="A23" s="438"/>
      <c r="B23" s="338"/>
      <c r="C23" s="489"/>
      <c r="D23" s="426"/>
      <c r="E23" s="428"/>
      <c r="F23" s="379"/>
      <c r="G23" s="429"/>
      <c r="H23" s="378"/>
      <c r="I23" s="426"/>
      <c r="J23" s="133" t="s">
        <v>1057</v>
      </c>
      <c r="K23" s="39" t="s">
        <v>1047</v>
      </c>
      <c r="L23" s="21">
        <v>1</v>
      </c>
      <c r="M23" s="41">
        <v>750</v>
      </c>
    </row>
    <row r="24" spans="1:13" s="10" customFormat="1" ht="100.2" customHeight="1" x14ac:dyDescent="0.25">
      <c r="A24" s="337">
        <v>6</v>
      </c>
      <c r="B24" s="203">
        <v>6</v>
      </c>
      <c r="C24" s="203">
        <v>1</v>
      </c>
      <c r="D24" s="314">
        <v>45305</v>
      </c>
      <c r="E24" s="151">
        <v>2024011200004</v>
      </c>
      <c r="F24" s="150" t="s">
        <v>454</v>
      </c>
      <c r="G24" s="167" t="s">
        <v>1065</v>
      </c>
      <c r="H24" s="81" t="s">
        <v>1066</v>
      </c>
      <c r="I24" s="314">
        <v>45306</v>
      </c>
      <c r="J24" s="180" t="s">
        <v>1067</v>
      </c>
      <c r="K24" s="299" t="s">
        <v>1068</v>
      </c>
      <c r="L24" s="300">
        <v>1</v>
      </c>
      <c r="M24" s="321">
        <v>354</v>
      </c>
    </row>
    <row r="25" spans="1:13" s="10" customFormat="1" ht="100.2" customHeight="1" x14ac:dyDescent="0.25">
      <c r="A25" s="453">
        <v>7</v>
      </c>
      <c r="B25" s="338"/>
      <c r="C25" s="338">
        <v>1</v>
      </c>
      <c r="D25" s="113">
        <v>45305</v>
      </c>
      <c r="E25" s="151">
        <v>2024011200001</v>
      </c>
      <c r="F25" s="150" t="s">
        <v>454</v>
      </c>
      <c r="G25" s="167" t="s">
        <v>1069</v>
      </c>
      <c r="H25" s="81" t="s">
        <v>1070</v>
      </c>
      <c r="I25" s="113">
        <v>45306</v>
      </c>
      <c r="J25" s="133" t="s">
        <v>1089</v>
      </c>
      <c r="K25" s="39" t="s">
        <v>1071</v>
      </c>
      <c r="L25" s="21">
        <v>1</v>
      </c>
      <c r="M25" s="41">
        <v>355</v>
      </c>
    </row>
    <row r="26" spans="1:13" s="10" customFormat="1" ht="51" customHeight="1" x14ac:dyDescent="0.25">
      <c r="A26" s="453"/>
      <c r="B26" s="338"/>
      <c r="C26" s="481">
        <v>2</v>
      </c>
      <c r="D26" s="382">
        <v>45305</v>
      </c>
      <c r="E26" s="380">
        <v>2024011200002</v>
      </c>
      <c r="F26" s="379" t="s">
        <v>454</v>
      </c>
      <c r="G26" s="401" t="s">
        <v>1072</v>
      </c>
      <c r="H26" s="383" t="s">
        <v>1073</v>
      </c>
      <c r="I26" s="382">
        <v>45306</v>
      </c>
      <c r="J26" s="133" t="s">
        <v>1087</v>
      </c>
      <c r="K26" s="39" t="s">
        <v>1074</v>
      </c>
      <c r="L26" s="21">
        <v>1</v>
      </c>
      <c r="M26" s="41">
        <v>1209</v>
      </c>
    </row>
    <row r="27" spans="1:13" s="10" customFormat="1" ht="58.2" customHeight="1" x14ac:dyDescent="0.25">
      <c r="A27" s="453"/>
      <c r="B27" s="203">
        <v>6</v>
      </c>
      <c r="C27" s="481"/>
      <c r="D27" s="382"/>
      <c r="E27" s="380"/>
      <c r="F27" s="379"/>
      <c r="G27" s="401"/>
      <c r="H27" s="383"/>
      <c r="I27" s="382"/>
      <c r="J27" s="133" t="s">
        <v>1091</v>
      </c>
      <c r="K27" s="39" t="s">
        <v>1075</v>
      </c>
      <c r="L27" s="21">
        <v>1</v>
      </c>
      <c r="M27" s="41">
        <v>71</v>
      </c>
    </row>
    <row r="28" spans="1:13" s="10" customFormat="1" ht="39.6" customHeight="1" x14ac:dyDescent="0.25">
      <c r="A28" s="453"/>
      <c r="B28" s="203"/>
      <c r="C28" s="503" t="s">
        <v>1086</v>
      </c>
      <c r="D28" s="504"/>
      <c r="E28" s="504"/>
      <c r="F28" s="504"/>
      <c r="G28" s="504"/>
      <c r="H28" s="504"/>
      <c r="I28" s="505"/>
      <c r="J28" s="133" t="s">
        <v>1088</v>
      </c>
      <c r="K28" s="39" t="s">
        <v>600</v>
      </c>
      <c r="L28" s="21">
        <v>1</v>
      </c>
      <c r="M28" s="41">
        <v>1209</v>
      </c>
    </row>
    <row r="29" spans="1:13" s="10" customFormat="1" ht="39.6" customHeight="1" x14ac:dyDescent="0.25">
      <c r="A29" s="453"/>
      <c r="B29" s="203"/>
      <c r="C29" s="506"/>
      <c r="D29" s="507"/>
      <c r="E29" s="507"/>
      <c r="F29" s="507"/>
      <c r="G29" s="507"/>
      <c r="H29" s="507"/>
      <c r="I29" s="508"/>
      <c r="J29" s="133" t="s">
        <v>1090</v>
      </c>
      <c r="K29" s="39" t="s">
        <v>604</v>
      </c>
      <c r="L29" s="21">
        <v>1</v>
      </c>
      <c r="M29" s="41">
        <v>355</v>
      </c>
    </row>
    <row r="30" spans="1:13" s="10" customFormat="1" ht="39.6" customHeight="1" x14ac:dyDescent="0.25">
      <c r="A30" s="453"/>
      <c r="B30" s="203"/>
      <c r="C30" s="506"/>
      <c r="D30" s="507"/>
      <c r="E30" s="507"/>
      <c r="F30" s="507"/>
      <c r="G30" s="507"/>
      <c r="H30" s="507"/>
      <c r="I30" s="508"/>
      <c r="J30" s="133" t="s">
        <v>1092</v>
      </c>
      <c r="K30" s="39" t="s">
        <v>621</v>
      </c>
      <c r="L30" s="21">
        <v>1</v>
      </c>
      <c r="M30" s="41">
        <v>71</v>
      </c>
    </row>
    <row r="31" spans="1:13" s="10" customFormat="1" ht="39.6" customHeight="1" x14ac:dyDescent="0.25">
      <c r="A31" s="453"/>
      <c r="B31" s="203"/>
      <c r="C31" s="509"/>
      <c r="D31" s="510"/>
      <c r="E31" s="510"/>
      <c r="F31" s="510"/>
      <c r="G31" s="510"/>
      <c r="H31" s="510"/>
      <c r="I31" s="511"/>
      <c r="J31" s="512" t="s">
        <v>1095</v>
      </c>
      <c r="K31" s="513"/>
      <c r="L31" s="514"/>
      <c r="M31" s="41">
        <f>SUM(M28:M30)</f>
        <v>1635</v>
      </c>
    </row>
    <row r="32" spans="1:13" s="10" customFormat="1" ht="70.05" customHeight="1" thickBot="1" x14ac:dyDescent="0.3">
      <c r="A32" s="341"/>
      <c r="B32" s="335"/>
      <c r="C32" s="335"/>
      <c r="D32" s="335"/>
      <c r="E32" s="335"/>
      <c r="F32" s="335"/>
      <c r="G32" s="335"/>
      <c r="H32" s="335"/>
      <c r="I32" s="336"/>
      <c r="J32" s="402" t="s">
        <v>805</v>
      </c>
      <c r="K32" s="403"/>
      <c r="L32" s="404"/>
      <c r="M32" s="285">
        <f>SUM(M31+M24+M23+M22+M21+M12+M11+M4)</f>
        <v>48553</v>
      </c>
    </row>
  </sheetData>
  <autoFilter ref="A3:M32" xr:uid="{00000000-0009-0000-0000-00000A000000}"/>
  <mergeCells count="49">
    <mergeCell ref="J32:L32"/>
    <mergeCell ref="F13:F14"/>
    <mergeCell ref="G13:G14"/>
    <mergeCell ref="H13:H14"/>
    <mergeCell ref="I13:I14"/>
    <mergeCell ref="G17:G18"/>
    <mergeCell ref="H17:H18"/>
    <mergeCell ref="I17:I18"/>
    <mergeCell ref="G22:G23"/>
    <mergeCell ref="H22:H23"/>
    <mergeCell ref="I22:I23"/>
    <mergeCell ref="G26:G27"/>
    <mergeCell ref="H26:H27"/>
    <mergeCell ref="F26:F27"/>
    <mergeCell ref="F17:F18"/>
    <mergeCell ref="H15:H16"/>
    <mergeCell ref="A1:M1"/>
    <mergeCell ref="A2:G2"/>
    <mergeCell ref="H2:M2"/>
    <mergeCell ref="A5:A11"/>
    <mergeCell ref="C8:I11"/>
    <mergeCell ref="J11:L11"/>
    <mergeCell ref="J21:L21"/>
    <mergeCell ref="J31:L31"/>
    <mergeCell ref="C13:C14"/>
    <mergeCell ref="D13:D14"/>
    <mergeCell ref="E13:E14"/>
    <mergeCell ref="C15:C16"/>
    <mergeCell ref="D15:D16"/>
    <mergeCell ref="E15:E16"/>
    <mergeCell ref="F15:F16"/>
    <mergeCell ref="G15:G16"/>
    <mergeCell ref="I26:I27"/>
    <mergeCell ref="C22:C23"/>
    <mergeCell ref="D22:D23"/>
    <mergeCell ref="E22:E23"/>
    <mergeCell ref="F22:F23"/>
    <mergeCell ref="C26:C27"/>
    <mergeCell ref="A13:A21"/>
    <mergeCell ref="C19:I21"/>
    <mergeCell ref="D26:D27"/>
    <mergeCell ref="E26:E27"/>
    <mergeCell ref="C17:C18"/>
    <mergeCell ref="D17:D18"/>
    <mergeCell ref="E17:E18"/>
    <mergeCell ref="I15:I16"/>
    <mergeCell ref="A22:A23"/>
    <mergeCell ref="A25:A31"/>
    <mergeCell ref="C28:I31"/>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M112"/>
  <sheetViews>
    <sheetView view="pageBreakPreview" zoomScale="40" zoomScaleNormal="40" zoomScaleSheetLayoutView="40" workbookViewId="0">
      <pane ySplit="1" topLeftCell="A89" activePane="bottomLeft" state="frozen"/>
      <selection pane="bottomLeft" activeCell="J111" sqref="J111:L111"/>
    </sheetView>
  </sheetViews>
  <sheetFormatPr defaultColWidth="14.44140625" defaultRowHeight="15.75" customHeight="1" x14ac:dyDescent="0.25"/>
  <cols>
    <col min="1" max="1" width="8.33203125" customWidth="1"/>
    <col min="2" max="2" width="9.109375" hidden="1" customWidth="1"/>
    <col min="3" max="3" width="9.109375" customWidth="1"/>
    <col min="4" max="4" width="30" bestFit="1" customWidth="1"/>
    <col min="5" max="5" width="30.21875" style="1" customWidth="1"/>
    <col min="6" max="6" width="25.6640625" customWidth="1"/>
    <col min="7" max="7" width="30.33203125" customWidth="1"/>
    <col min="8" max="8" width="80.6640625" style="53" customWidth="1"/>
    <col min="9" max="9" width="25.6640625" customWidth="1"/>
    <col min="10" max="10" width="24.5546875" style="53" customWidth="1"/>
    <col min="11" max="11" width="10.77734375" style="1" customWidth="1"/>
    <col min="12" max="12" width="14.109375" style="1" customWidth="1"/>
    <col min="13" max="13" width="30.6640625" style="12" customWidth="1"/>
    <col min="17" max="17" width="18.77734375" bestFit="1" customWidth="1"/>
  </cols>
  <sheetData>
    <row r="1" spans="1:13" ht="50.1" customHeight="1" x14ac:dyDescent="0.25">
      <c r="A1" s="454" t="s">
        <v>11</v>
      </c>
      <c r="B1" s="455"/>
      <c r="C1" s="455"/>
      <c r="D1" s="455"/>
      <c r="E1" s="455"/>
      <c r="F1" s="455"/>
      <c r="G1" s="455"/>
      <c r="H1" s="455"/>
      <c r="I1" s="455"/>
      <c r="J1" s="455"/>
      <c r="K1" s="455"/>
      <c r="L1" s="455"/>
      <c r="M1" s="456"/>
    </row>
    <row r="2" spans="1:13" s="8" customFormat="1" ht="50.1" customHeight="1" thickBot="1" x14ac:dyDescent="0.35">
      <c r="A2" s="483" t="s">
        <v>12</v>
      </c>
      <c r="B2" s="484"/>
      <c r="C2" s="484"/>
      <c r="D2" s="484"/>
      <c r="E2" s="484"/>
      <c r="F2" s="484"/>
      <c r="G2" s="484"/>
      <c r="H2" s="485" t="s">
        <v>994</v>
      </c>
      <c r="I2" s="485"/>
      <c r="J2" s="485"/>
      <c r="K2" s="485"/>
      <c r="L2" s="485"/>
      <c r="M2" s="486"/>
    </row>
    <row r="3" spans="1:13" s="10" customFormat="1" ht="50.1" customHeight="1" x14ac:dyDescent="0.25">
      <c r="A3" s="328" t="s">
        <v>23</v>
      </c>
      <c r="B3" s="329" t="s">
        <v>23</v>
      </c>
      <c r="C3" s="329" t="s">
        <v>653</v>
      </c>
      <c r="D3" s="330" t="s">
        <v>224</v>
      </c>
      <c r="E3" s="331" t="s">
        <v>22</v>
      </c>
      <c r="F3" s="332" t="s">
        <v>0</v>
      </c>
      <c r="G3" s="332" t="s">
        <v>2</v>
      </c>
      <c r="H3" s="332" t="s">
        <v>19</v>
      </c>
      <c r="I3" s="330" t="s">
        <v>1</v>
      </c>
      <c r="J3" s="330" t="s">
        <v>15</v>
      </c>
      <c r="K3" s="330" t="s">
        <v>592</v>
      </c>
      <c r="L3" s="330" t="s">
        <v>591</v>
      </c>
      <c r="M3" s="333" t="s">
        <v>804</v>
      </c>
    </row>
    <row r="4" spans="1:13" s="10" customFormat="1" ht="105.6" customHeight="1" x14ac:dyDescent="0.25">
      <c r="A4" s="334">
        <v>1</v>
      </c>
      <c r="B4" s="338">
        <v>1</v>
      </c>
      <c r="C4" s="338">
        <v>1</v>
      </c>
      <c r="D4" s="113">
        <v>45261</v>
      </c>
      <c r="E4" s="151">
        <v>2023120100001</v>
      </c>
      <c r="F4" s="339" t="s">
        <v>454</v>
      </c>
      <c r="G4" s="167" t="s">
        <v>998</v>
      </c>
      <c r="H4" s="81" t="s">
        <v>999</v>
      </c>
      <c r="I4" s="130">
        <v>45262</v>
      </c>
      <c r="J4" s="83" t="s">
        <v>997</v>
      </c>
      <c r="K4" s="39" t="s">
        <v>621</v>
      </c>
      <c r="L4" s="21">
        <v>1</v>
      </c>
      <c r="M4" s="134">
        <f>630*L4</f>
        <v>630</v>
      </c>
    </row>
    <row r="5" spans="1:13" s="10" customFormat="1" ht="49.95" customHeight="1" x14ac:dyDescent="0.25">
      <c r="A5" s="452">
        <v>2</v>
      </c>
      <c r="B5" s="479">
        <v>2</v>
      </c>
      <c r="C5" s="479">
        <v>1</v>
      </c>
      <c r="D5" s="382">
        <v>45265</v>
      </c>
      <c r="E5" s="380">
        <v>2023121400001</v>
      </c>
      <c r="F5" s="379" t="s">
        <v>454</v>
      </c>
      <c r="G5" s="401" t="s">
        <v>1035</v>
      </c>
      <c r="H5" s="383" t="s">
        <v>1036</v>
      </c>
      <c r="I5" s="382">
        <v>45266</v>
      </c>
      <c r="J5" s="83" t="s">
        <v>617</v>
      </c>
      <c r="K5" s="39" t="s">
        <v>704</v>
      </c>
      <c r="L5" s="21">
        <v>100</v>
      </c>
      <c r="M5" s="41">
        <f>47*L5</f>
        <v>4700</v>
      </c>
    </row>
    <row r="6" spans="1:13" s="10" customFormat="1" ht="49.95" customHeight="1" x14ac:dyDescent="0.25">
      <c r="A6" s="452"/>
      <c r="B6" s="479"/>
      <c r="C6" s="479"/>
      <c r="D6" s="382"/>
      <c r="E6" s="380"/>
      <c r="F6" s="379"/>
      <c r="G6" s="401"/>
      <c r="H6" s="383"/>
      <c r="I6" s="382"/>
      <c r="J6" s="83" t="s">
        <v>619</v>
      </c>
      <c r="K6" s="39" t="s">
        <v>704</v>
      </c>
      <c r="L6" s="21">
        <v>5</v>
      </c>
      <c r="M6" s="41">
        <f>51*L6</f>
        <v>255</v>
      </c>
    </row>
    <row r="7" spans="1:13" s="10" customFormat="1" ht="49.95" customHeight="1" x14ac:dyDescent="0.25">
      <c r="A7" s="452"/>
      <c r="B7" s="479"/>
      <c r="C7" s="479"/>
      <c r="D7" s="382"/>
      <c r="E7" s="380"/>
      <c r="F7" s="379"/>
      <c r="G7" s="401"/>
      <c r="H7" s="383"/>
      <c r="I7" s="382"/>
      <c r="J7" s="84" t="s">
        <v>598</v>
      </c>
      <c r="K7" s="39" t="s">
        <v>595</v>
      </c>
      <c r="L7" s="21">
        <v>1</v>
      </c>
      <c r="M7" s="41">
        <f>9845*L7</f>
        <v>9845</v>
      </c>
    </row>
    <row r="8" spans="1:13" s="10" customFormat="1" ht="49.95" customHeight="1" x14ac:dyDescent="0.25">
      <c r="A8" s="452"/>
      <c r="B8" s="479"/>
      <c r="C8" s="479"/>
      <c r="D8" s="382"/>
      <c r="E8" s="380"/>
      <c r="F8" s="379"/>
      <c r="G8" s="401"/>
      <c r="H8" s="383"/>
      <c r="I8" s="382"/>
      <c r="J8" s="83" t="s">
        <v>599</v>
      </c>
      <c r="K8" s="39" t="s">
        <v>597</v>
      </c>
      <c r="L8" s="21">
        <v>1</v>
      </c>
      <c r="M8" s="41">
        <f>750*L8</f>
        <v>750</v>
      </c>
    </row>
    <row r="9" spans="1:13" s="10" customFormat="1" ht="49.95" customHeight="1" x14ac:dyDescent="0.25">
      <c r="A9" s="452"/>
      <c r="B9" s="479"/>
      <c r="C9" s="479"/>
      <c r="D9" s="382"/>
      <c r="E9" s="380"/>
      <c r="F9" s="379"/>
      <c r="G9" s="401"/>
      <c r="H9" s="383"/>
      <c r="I9" s="382"/>
      <c r="J9" s="83" t="s">
        <v>1007</v>
      </c>
      <c r="K9" s="39" t="s">
        <v>1006</v>
      </c>
      <c r="L9" s="21">
        <v>6</v>
      </c>
      <c r="M9" s="41">
        <f>394*L9</f>
        <v>2364</v>
      </c>
    </row>
    <row r="10" spans="1:13" s="10" customFormat="1" ht="49.95" customHeight="1" x14ac:dyDescent="0.25">
      <c r="A10" s="452"/>
      <c r="B10" s="479"/>
      <c r="C10" s="479"/>
      <c r="D10" s="382"/>
      <c r="E10" s="380"/>
      <c r="F10" s="379"/>
      <c r="G10" s="401"/>
      <c r="H10" s="383"/>
      <c r="I10" s="382"/>
      <c r="J10" s="133" t="s">
        <v>997</v>
      </c>
      <c r="K10" s="39" t="s">
        <v>621</v>
      </c>
      <c r="L10" s="21">
        <v>1</v>
      </c>
      <c r="M10" s="134">
        <f>630*L10</f>
        <v>630</v>
      </c>
    </row>
    <row r="11" spans="1:13" s="10" customFormat="1" ht="49.95" customHeight="1" x14ac:dyDescent="0.25">
      <c r="A11" s="452"/>
      <c r="B11" s="479"/>
      <c r="C11" s="479"/>
      <c r="D11" s="382"/>
      <c r="E11" s="380"/>
      <c r="F11" s="379"/>
      <c r="G11" s="401"/>
      <c r="H11" s="383"/>
      <c r="I11" s="382"/>
      <c r="J11" s="133" t="s">
        <v>620</v>
      </c>
      <c r="K11" s="39" t="s">
        <v>621</v>
      </c>
      <c r="L11" s="21">
        <v>1</v>
      </c>
      <c r="M11" s="41">
        <v>512</v>
      </c>
    </row>
    <row r="12" spans="1:13" s="10" customFormat="1" ht="125.4" customHeight="1" x14ac:dyDescent="0.25">
      <c r="A12" s="334">
        <v>3</v>
      </c>
      <c r="B12" s="338">
        <v>3</v>
      </c>
      <c r="C12" s="338">
        <v>1</v>
      </c>
      <c r="D12" s="113">
        <v>45268</v>
      </c>
      <c r="E12" s="151">
        <v>2023121000003</v>
      </c>
      <c r="F12" s="150" t="s">
        <v>454</v>
      </c>
      <c r="G12" s="167" t="s">
        <v>995</v>
      </c>
      <c r="H12" s="81" t="s">
        <v>996</v>
      </c>
      <c r="I12" s="113">
        <v>45269</v>
      </c>
      <c r="J12" s="133" t="s">
        <v>997</v>
      </c>
      <c r="K12" s="39" t="s">
        <v>621</v>
      </c>
      <c r="L12" s="21">
        <v>1</v>
      </c>
      <c r="M12" s="134">
        <f>630*L12</f>
        <v>630</v>
      </c>
    </row>
    <row r="13" spans="1:13" s="10" customFormat="1" ht="138" customHeight="1" x14ac:dyDescent="0.25">
      <c r="A13" s="337">
        <v>4</v>
      </c>
      <c r="B13" s="203">
        <v>4</v>
      </c>
      <c r="C13" s="203">
        <v>1</v>
      </c>
      <c r="D13" s="113">
        <v>45270</v>
      </c>
      <c r="E13" s="151">
        <v>2023121100023</v>
      </c>
      <c r="F13" s="150" t="s">
        <v>454</v>
      </c>
      <c r="G13" s="167" t="s">
        <v>1000</v>
      </c>
      <c r="H13" s="81" t="s">
        <v>1001</v>
      </c>
      <c r="I13" s="113">
        <v>45271</v>
      </c>
      <c r="J13" s="133" t="s">
        <v>628</v>
      </c>
      <c r="K13" s="39" t="s">
        <v>600</v>
      </c>
      <c r="L13" s="21">
        <v>1</v>
      </c>
      <c r="M13" s="134">
        <f>354*L13</f>
        <v>354</v>
      </c>
    </row>
    <row r="14" spans="1:13" s="10" customFormat="1" ht="49.95" customHeight="1" x14ac:dyDescent="0.25">
      <c r="A14" s="453">
        <v>5</v>
      </c>
      <c r="B14" s="481">
        <v>5</v>
      </c>
      <c r="C14" s="481">
        <v>1</v>
      </c>
      <c r="D14" s="382">
        <v>45270</v>
      </c>
      <c r="E14" s="380">
        <v>2023121100025</v>
      </c>
      <c r="F14" s="379" t="s">
        <v>454</v>
      </c>
      <c r="G14" s="401" t="s">
        <v>1002</v>
      </c>
      <c r="H14" s="383" t="s">
        <v>1003</v>
      </c>
      <c r="I14" s="382">
        <v>45271</v>
      </c>
      <c r="J14" s="133" t="s">
        <v>617</v>
      </c>
      <c r="K14" s="39" t="s">
        <v>704</v>
      </c>
      <c r="L14" s="21">
        <v>48</v>
      </c>
      <c r="M14" s="41">
        <f>47*L14</f>
        <v>2256</v>
      </c>
    </row>
    <row r="15" spans="1:13" s="10" customFormat="1" ht="49.95" customHeight="1" x14ac:dyDescent="0.25">
      <c r="A15" s="453"/>
      <c r="B15" s="481"/>
      <c r="C15" s="481"/>
      <c r="D15" s="382"/>
      <c r="E15" s="380"/>
      <c r="F15" s="379"/>
      <c r="G15" s="401"/>
      <c r="H15" s="383"/>
      <c r="I15" s="382"/>
      <c r="J15" s="133" t="s">
        <v>619</v>
      </c>
      <c r="K15" s="39" t="s">
        <v>704</v>
      </c>
      <c r="L15" s="21">
        <v>4</v>
      </c>
      <c r="M15" s="134">
        <f>51*L15</f>
        <v>204</v>
      </c>
    </row>
    <row r="16" spans="1:13" s="10" customFormat="1" ht="49.95" customHeight="1" x14ac:dyDescent="0.25">
      <c r="A16" s="453"/>
      <c r="B16" s="481"/>
      <c r="C16" s="481"/>
      <c r="D16" s="382"/>
      <c r="E16" s="380"/>
      <c r="F16" s="379"/>
      <c r="G16" s="401"/>
      <c r="H16" s="383"/>
      <c r="I16" s="382"/>
      <c r="J16" s="133" t="s">
        <v>623</v>
      </c>
      <c r="K16" s="39" t="s">
        <v>704</v>
      </c>
      <c r="L16" s="21">
        <v>10</v>
      </c>
      <c r="M16" s="134">
        <f>492*L16</f>
        <v>4920</v>
      </c>
    </row>
    <row r="17" spans="1:13" s="10" customFormat="1" ht="126" customHeight="1" x14ac:dyDescent="0.25">
      <c r="A17" s="337">
        <v>6</v>
      </c>
      <c r="B17" s="203">
        <v>6</v>
      </c>
      <c r="C17" s="203">
        <v>1</v>
      </c>
      <c r="D17" s="113">
        <v>45270</v>
      </c>
      <c r="E17" s="151">
        <v>2023121100026</v>
      </c>
      <c r="F17" s="150" t="s">
        <v>454</v>
      </c>
      <c r="G17" s="167" t="s">
        <v>1004</v>
      </c>
      <c r="H17" s="81" t="s">
        <v>1005</v>
      </c>
      <c r="I17" s="113">
        <v>45271</v>
      </c>
      <c r="J17" s="133" t="s">
        <v>630</v>
      </c>
      <c r="K17" s="39" t="s">
        <v>1006</v>
      </c>
      <c r="L17" s="21">
        <v>10</v>
      </c>
      <c r="M17" s="134">
        <f>142*L17</f>
        <v>1420</v>
      </c>
    </row>
    <row r="18" spans="1:13" s="10" customFormat="1" ht="49.95" customHeight="1" x14ac:dyDescent="0.25">
      <c r="A18" s="453">
        <v>7</v>
      </c>
      <c r="B18" s="481">
        <v>7</v>
      </c>
      <c r="C18" s="481">
        <v>1</v>
      </c>
      <c r="D18" s="382">
        <v>45265</v>
      </c>
      <c r="E18" s="380">
        <v>2023121800012</v>
      </c>
      <c r="F18" s="379" t="s">
        <v>454</v>
      </c>
      <c r="G18" s="401" t="s">
        <v>1031</v>
      </c>
      <c r="H18" s="383" t="s">
        <v>1032</v>
      </c>
      <c r="I18" s="382">
        <v>45266</v>
      </c>
      <c r="J18" s="83" t="s">
        <v>617</v>
      </c>
      <c r="K18" s="39" t="s">
        <v>704</v>
      </c>
      <c r="L18" s="21">
        <v>152</v>
      </c>
      <c r="M18" s="41">
        <f>47*L18</f>
        <v>7144</v>
      </c>
    </row>
    <row r="19" spans="1:13" s="10" customFormat="1" ht="49.95" customHeight="1" x14ac:dyDescent="0.25">
      <c r="A19" s="453"/>
      <c r="B19" s="481"/>
      <c r="C19" s="481"/>
      <c r="D19" s="382"/>
      <c r="E19" s="380"/>
      <c r="F19" s="379"/>
      <c r="G19" s="401"/>
      <c r="H19" s="383"/>
      <c r="I19" s="382"/>
      <c r="J19" s="83" t="s">
        <v>619</v>
      </c>
      <c r="K19" s="39" t="s">
        <v>704</v>
      </c>
      <c r="L19" s="21">
        <v>4</v>
      </c>
      <c r="M19" s="134">
        <f>51*L19</f>
        <v>204</v>
      </c>
    </row>
    <row r="20" spans="1:13" s="10" customFormat="1" ht="49.95" customHeight="1" x14ac:dyDescent="0.25">
      <c r="A20" s="453"/>
      <c r="B20" s="481"/>
      <c r="C20" s="481"/>
      <c r="D20" s="382"/>
      <c r="E20" s="380"/>
      <c r="F20" s="379"/>
      <c r="G20" s="401"/>
      <c r="H20" s="383"/>
      <c r="I20" s="382"/>
      <c r="J20" s="133" t="s">
        <v>598</v>
      </c>
      <c r="K20" s="39" t="s">
        <v>595</v>
      </c>
      <c r="L20" s="21">
        <v>1</v>
      </c>
      <c r="M20" s="41">
        <f>9845*L20</f>
        <v>9845</v>
      </c>
    </row>
    <row r="21" spans="1:13" s="10" customFormat="1" ht="49.95" customHeight="1" x14ac:dyDescent="0.25">
      <c r="A21" s="453"/>
      <c r="B21" s="481"/>
      <c r="C21" s="481"/>
      <c r="D21" s="382"/>
      <c r="E21" s="380"/>
      <c r="F21" s="379"/>
      <c r="G21" s="401"/>
      <c r="H21" s="383"/>
      <c r="I21" s="382"/>
      <c r="J21" s="133" t="s">
        <v>599</v>
      </c>
      <c r="K21" s="39" t="s">
        <v>597</v>
      </c>
      <c r="L21" s="21">
        <v>1</v>
      </c>
      <c r="M21" s="41">
        <f>750*L21</f>
        <v>750</v>
      </c>
    </row>
    <row r="22" spans="1:13" s="10" customFormat="1" ht="49.95" customHeight="1" x14ac:dyDescent="0.25">
      <c r="A22" s="453"/>
      <c r="B22" s="481"/>
      <c r="C22" s="481"/>
      <c r="D22" s="382"/>
      <c r="E22" s="380"/>
      <c r="F22" s="379"/>
      <c r="G22" s="401"/>
      <c r="H22" s="383"/>
      <c r="I22" s="382"/>
      <c r="J22" s="133" t="s">
        <v>603</v>
      </c>
      <c r="K22" s="39" t="s">
        <v>604</v>
      </c>
      <c r="L22" s="21">
        <v>1</v>
      </c>
      <c r="M22" s="41">
        <f>299*L22</f>
        <v>299</v>
      </c>
    </row>
    <row r="23" spans="1:13" s="10" customFormat="1" ht="49.95" customHeight="1" x14ac:dyDescent="0.25">
      <c r="A23" s="453"/>
      <c r="B23" s="481"/>
      <c r="C23" s="481"/>
      <c r="D23" s="382"/>
      <c r="E23" s="380"/>
      <c r="F23" s="379"/>
      <c r="G23" s="401"/>
      <c r="H23" s="383"/>
      <c r="I23" s="382"/>
      <c r="J23" s="133" t="s">
        <v>703</v>
      </c>
      <c r="K23" s="39" t="s">
        <v>621</v>
      </c>
      <c r="L23" s="21">
        <v>1</v>
      </c>
      <c r="M23" s="41">
        <f>1181*L23</f>
        <v>1181</v>
      </c>
    </row>
    <row r="24" spans="1:13" s="10" customFormat="1" ht="49.95" customHeight="1" x14ac:dyDescent="0.25">
      <c r="A24" s="453"/>
      <c r="B24" s="481"/>
      <c r="C24" s="481">
        <v>2</v>
      </c>
      <c r="D24" s="382">
        <v>45265</v>
      </c>
      <c r="E24" s="380">
        <v>2023121800003</v>
      </c>
      <c r="F24" s="379" t="s">
        <v>454</v>
      </c>
      <c r="G24" s="401" t="s">
        <v>1023</v>
      </c>
      <c r="H24" s="383" t="s">
        <v>1024</v>
      </c>
      <c r="I24" s="382">
        <v>45266</v>
      </c>
      <c r="J24" s="83" t="s">
        <v>617</v>
      </c>
      <c r="K24" s="39" t="s">
        <v>704</v>
      </c>
      <c r="L24" s="21">
        <v>165</v>
      </c>
      <c r="M24" s="41">
        <f>47*L24</f>
        <v>7755</v>
      </c>
    </row>
    <row r="25" spans="1:13" s="10" customFormat="1" ht="49.95" customHeight="1" x14ac:dyDescent="0.25">
      <c r="A25" s="453"/>
      <c r="B25" s="481"/>
      <c r="C25" s="481"/>
      <c r="D25" s="382"/>
      <c r="E25" s="380"/>
      <c r="F25" s="379"/>
      <c r="G25" s="401"/>
      <c r="H25" s="383"/>
      <c r="I25" s="382"/>
      <c r="J25" s="83" t="s">
        <v>619</v>
      </c>
      <c r="K25" s="39" t="s">
        <v>704</v>
      </c>
      <c r="L25" s="21">
        <v>6</v>
      </c>
      <c r="M25" s="41">
        <f>51*L25</f>
        <v>306</v>
      </c>
    </row>
    <row r="26" spans="1:13" s="10" customFormat="1" ht="49.95" customHeight="1" x14ac:dyDescent="0.25">
      <c r="A26" s="453"/>
      <c r="B26" s="481"/>
      <c r="C26" s="481"/>
      <c r="D26" s="382"/>
      <c r="E26" s="380"/>
      <c r="F26" s="379"/>
      <c r="G26" s="401"/>
      <c r="H26" s="383"/>
      <c r="I26" s="382"/>
      <c r="J26" s="133" t="s">
        <v>598</v>
      </c>
      <c r="K26" s="39" t="s">
        <v>595</v>
      </c>
      <c r="L26" s="21">
        <v>1</v>
      </c>
      <c r="M26" s="41">
        <f>9845*L26</f>
        <v>9845</v>
      </c>
    </row>
    <row r="27" spans="1:13" s="10" customFormat="1" ht="49.95" customHeight="1" x14ac:dyDescent="0.25">
      <c r="A27" s="453"/>
      <c r="B27" s="481"/>
      <c r="C27" s="481"/>
      <c r="D27" s="382"/>
      <c r="E27" s="380"/>
      <c r="F27" s="379"/>
      <c r="G27" s="401"/>
      <c r="H27" s="383"/>
      <c r="I27" s="382"/>
      <c r="J27" s="133" t="s">
        <v>599</v>
      </c>
      <c r="K27" s="39" t="s">
        <v>597</v>
      </c>
      <c r="L27" s="21">
        <v>1</v>
      </c>
      <c r="M27" s="41">
        <f>750*L27</f>
        <v>750</v>
      </c>
    </row>
    <row r="28" spans="1:13" s="10" customFormat="1" ht="49.95" customHeight="1" x14ac:dyDescent="0.25">
      <c r="A28" s="453"/>
      <c r="B28" s="481"/>
      <c r="C28" s="481"/>
      <c r="D28" s="382"/>
      <c r="E28" s="380"/>
      <c r="F28" s="379"/>
      <c r="G28" s="401"/>
      <c r="H28" s="383"/>
      <c r="I28" s="382"/>
      <c r="J28" s="133" t="s">
        <v>603</v>
      </c>
      <c r="K28" s="39" t="s">
        <v>604</v>
      </c>
      <c r="L28" s="21">
        <v>1</v>
      </c>
      <c r="M28" s="41">
        <f>299*L28</f>
        <v>299</v>
      </c>
    </row>
    <row r="29" spans="1:13" s="10" customFormat="1" ht="49.95" customHeight="1" x14ac:dyDescent="0.25">
      <c r="A29" s="453"/>
      <c r="B29" s="481"/>
      <c r="C29" s="481"/>
      <c r="D29" s="382"/>
      <c r="E29" s="380"/>
      <c r="F29" s="379"/>
      <c r="G29" s="401"/>
      <c r="H29" s="383"/>
      <c r="I29" s="382"/>
      <c r="J29" s="133" t="s">
        <v>703</v>
      </c>
      <c r="K29" s="39" t="s">
        <v>621</v>
      </c>
      <c r="L29" s="21">
        <v>1</v>
      </c>
      <c r="M29" s="41">
        <f>1181*L29</f>
        <v>1181</v>
      </c>
    </row>
    <row r="30" spans="1:13" s="10" customFormat="1" ht="43.2" customHeight="1" x14ac:dyDescent="0.25">
      <c r="A30" s="453"/>
      <c r="B30" s="481"/>
      <c r="C30" s="481">
        <v>3</v>
      </c>
      <c r="D30" s="382">
        <v>45265</v>
      </c>
      <c r="E30" s="380">
        <v>2023121800004</v>
      </c>
      <c r="F30" s="379" t="s">
        <v>454</v>
      </c>
      <c r="G30" s="401" t="s">
        <v>1021</v>
      </c>
      <c r="H30" s="383" t="s">
        <v>1022</v>
      </c>
      <c r="I30" s="382">
        <v>45266</v>
      </c>
      <c r="J30" s="83" t="s">
        <v>617</v>
      </c>
      <c r="K30" s="39" t="s">
        <v>704</v>
      </c>
      <c r="L30" s="21">
        <v>163</v>
      </c>
      <c r="M30" s="41">
        <f>47*L30</f>
        <v>7661</v>
      </c>
    </row>
    <row r="31" spans="1:13" s="10" customFormat="1" ht="43.2" customHeight="1" x14ac:dyDescent="0.25">
      <c r="A31" s="453"/>
      <c r="B31" s="481"/>
      <c r="C31" s="481"/>
      <c r="D31" s="382"/>
      <c r="E31" s="380"/>
      <c r="F31" s="379"/>
      <c r="G31" s="401"/>
      <c r="H31" s="383"/>
      <c r="I31" s="382"/>
      <c r="J31" s="83" t="s">
        <v>619</v>
      </c>
      <c r="K31" s="39" t="s">
        <v>704</v>
      </c>
      <c r="L31" s="21">
        <v>7</v>
      </c>
      <c r="M31" s="41">
        <f>51*L31</f>
        <v>357</v>
      </c>
    </row>
    <row r="32" spans="1:13" s="10" customFormat="1" ht="43.2" customHeight="1" x14ac:dyDescent="0.25">
      <c r="A32" s="453"/>
      <c r="B32" s="481"/>
      <c r="C32" s="481"/>
      <c r="D32" s="382"/>
      <c r="E32" s="380"/>
      <c r="F32" s="379"/>
      <c r="G32" s="401"/>
      <c r="H32" s="383"/>
      <c r="I32" s="382"/>
      <c r="J32" s="133" t="s">
        <v>598</v>
      </c>
      <c r="K32" s="39" t="s">
        <v>595</v>
      </c>
      <c r="L32" s="21">
        <v>1</v>
      </c>
      <c r="M32" s="41">
        <f>9845*L32</f>
        <v>9845</v>
      </c>
    </row>
    <row r="33" spans="1:13" s="10" customFormat="1" ht="43.2" customHeight="1" x14ac:dyDescent="0.25">
      <c r="A33" s="453"/>
      <c r="B33" s="481"/>
      <c r="C33" s="481"/>
      <c r="D33" s="382"/>
      <c r="E33" s="380"/>
      <c r="F33" s="379"/>
      <c r="G33" s="401"/>
      <c r="H33" s="383"/>
      <c r="I33" s="382"/>
      <c r="J33" s="133" t="s">
        <v>599</v>
      </c>
      <c r="K33" s="39" t="s">
        <v>597</v>
      </c>
      <c r="L33" s="21">
        <v>1</v>
      </c>
      <c r="M33" s="41">
        <f>750*L33</f>
        <v>750</v>
      </c>
    </row>
    <row r="34" spans="1:13" s="10" customFormat="1" ht="43.2" customHeight="1" x14ac:dyDescent="0.25">
      <c r="A34" s="453"/>
      <c r="B34" s="481"/>
      <c r="C34" s="481"/>
      <c r="D34" s="382"/>
      <c r="E34" s="380"/>
      <c r="F34" s="379"/>
      <c r="G34" s="401"/>
      <c r="H34" s="383"/>
      <c r="I34" s="382"/>
      <c r="J34" s="133" t="s">
        <v>1007</v>
      </c>
      <c r="K34" s="39" t="s">
        <v>1006</v>
      </c>
      <c r="L34" s="21">
        <v>6</v>
      </c>
      <c r="M34" s="41">
        <f>394*L34</f>
        <v>2364</v>
      </c>
    </row>
    <row r="35" spans="1:13" s="10" customFormat="1" ht="43.2" customHeight="1" x14ac:dyDescent="0.25">
      <c r="A35" s="453"/>
      <c r="B35" s="481"/>
      <c r="C35" s="481"/>
      <c r="D35" s="382"/>
      <c r="E35" s="380"/>
      <c r="F35" s="379"/>
      <c r="G35" s="401"/>
      <c r="H35" s="383"/>
      <c r="I35" s="382"/>
      <c r="J35" s="133" t="s">
        <v>624</v>
      </c>
      <c r="K35" s="39" t="s">
        <v>600</v>
      </c>
      <c r="L35" s="21">
        <v>1</v>
      </c>
      <c r="M35" s="41">
        <f>1102*L35</f>
        <v>1102</v>
      </c>
    </row>
    <row r="36" spans="1:13" s="10" customFormat="1" ht="43.2" customHeight="1" x14ac:dyDescent="0.25">
      <c r="A36" s="453"/>
      <c r="B36" s="481"/>
      <c r="C36" s="481"/>
      <c r="D36" s="382"/>
      <c r="E36" s="380"/>
      <c r="F36" s="379"/>
      <c r="G36" s="401"/>
      <c r="H36" s="383"/>
      <c r="I36" s="382"/>
      <c r="J36" s="133" t="s">
        <v>620</v>
      </c>
      <c r="K36" s="39" t="s">
        <v>621</v>
      </c>
      <c r="L36" s="21">
        <v>1</v>
      </c>
      <c r="M36" s="41">
        <v>512</v>
      </c>
    </row>
    <row r="37" spans="1:13" s="10" customFormat="1" ht="43.2" customHeight="1" x14ac:dyDescent="0.25">
      <c r="A37" s="453"/>
      <c r="B37" s="481"/>
      <c r="C37" s="481"/>
      <c r="D37" s="382"/>
      <c r="E37" s="380"/>
      <c r="F37" s="379"/>
      <c r="G37" s="401"/>
      <c r="H37" s="383"/>
      <c r="I37" s="382"/>
      <c r="J37" s="133" t="s">
        <v>603</v>
      </c>
      <c r="K37" s="39" t="s">
        <v>604</v>
      </c>
      <c r="L37" s="21">
        <v>1</v>
      </c>
      <c r="M37" s="41">
        <f>299*L37</f>
        <v>299</v>
      </c>
    </row>
    <row r="38" spans="1:13" s="10" customFormat="1" ht="43.2" customHeight="1" x14ac:dyDescent="0.25">
      <c r="A38" s="453"/>
      <c r="B38" s="481"/>
      <c r="C38" s="481"/>
      <c r="D38" s="382"/>
      <c r="E38" s="380"/>
      <c r="F38" s="379"/>
      <c r="G38" s="401"/>
      <c r="H38" s="383"/>
      <c r="I38" s="382"/>
      <c r="J38" s="133" t="s">
        <v>703</v>
      </c>
      <c r="K38" s="39" t="s">
        <v>621</v>
      </c>
      <c r="L38" s="21">
        <v>1</v>
      </c>
      <c r="M38" s="41">
        <f>1181*L38</f>
        <v>1181</v>
      </c>
    </row>
    <row r="39" spans="1:13" s="10" customFormat="1" ht="49.95" customHeight="1" x14ac:dyDescent="0.25">
      <c r="A39" s="453"/>
      <c r="B39" s="481"/>
      <c r="C39" s="481">
        <v>4</v>
      </c>
      <c r="D39" s="382">
        <v>45265</v>
      </c>
      <c r="E39" s="380">
        <v>2023121800005</v>
      </c>
      <c r="F39" s="379" t="s">
        <v>454</v>
      </c>
      <c r="G39" s="401" t="s">
        <v>1020</v>
      </c>
      <c r="H39" s="383" t="s">
        <v>1019</v>
      </c>
      <c r="I39" s="382">
        <v>45266</v>
      </c>
      <c r="J39" s="83" t="s">
        <v>617</v>
      </c>
      <c r="K39" s="39" t="s">
        <v>704</v>
      </c>
      <c r="L39" s="21">
        <v>153</v>
      </c>
      <c r="M39" s="41">
        <f>47*L39</f>
        <v>7191</v>
      </c>
    </row>
    <row r="40" spans="1:13" s="10" customFormat="1" ht="49.95" customHeight="1" x14ac:dyDescent="0.25">
      <c r="A40" s="453"/>
      <c r="B40" s="481"/>
      <c r="C40" s="481"/>
      <c r="D40" s="382"/>
      <c r="E40" s="380"/>
      <c r="F40" s="379"/>
      <c r="G40" s="401"/>
      <c r="H40" s="383"/>
      <c r="I40" s="382"/>
      <c r="J40" s="83" t="s">
        <v>619</v>
      </c>
      <c r="K40" s="39" t="s">
        <v>704</v>
      </c>
      <c r="L40" s="21">
        <v>7</v>
      </c>
      <c r="M40" s="41">
        <f>51*L40</f>
        <v>357</v>
      </c>
    </row>
    <row r="41" spans="1:13" s="10" customFormat="1" ht="49.95" customHeight="1" x14ac:dyDescent="0.25">
      <c r="A41" s="453"/>
      <c r="B41" s="481"/>
      <c r="C41" s="481"/>
      <c r="D41" s="382"/>
      <c r="E41" s="380"/>
      <c r="F41" s="379"/>
      <c r="G41" s="401"/>
      <c r="H41" s="383"/>
      <c r="I41" s="382"/>
      <c r="J41" s="84" t="s">
        <v>611</v>
      </c>
      <c r="K41" s="39" t="s">
        <v>609</v>
      </c>
      <c r="L41" s="21">
        <v>10</v>
      </c>
      <c r="M41" s="41">
        <f>31*L41</f>
        <v>310</v>
      </c>
    </row>
    <row r="42" spans="1:13" s="10" customFormat="1" ht="49.95" customHeight="1" x14ac:dyDescent="0.25">
      <c r="A42" s="453"/>
      <c r="B42" s="481"/>
      <c r="C42" s="481"/>
      <c r="D42" s="382"/>
      <c r="E42" s="380"/>
      <c r="F42" s="379"/>
      <c r="G42" s="401"/>
      <c r="H42" s="383"/>
      <c r="I42" s="382"/>
      <c r="J42" s="133" t="s">
        <v>598</v>
      </c>
      <c r="K42" s="39" t="s">
        <v>595</v>
      </c>
      <c r="L42" s="21">
        <v>1</v>
      </c>
      <c r="M42" s="41">
        <f>9845*L42</f>
        <v>9845</v>
      </c>
    </row>
    <row r="43" spans="1:13" s="10" customFormat="1" ht="49.95" customHeight="1" x14ac:dyDescent="0.25">
      <c r="A43" s="453"/>
      <c r="B43" s="481"/>
      <c r="C43" s="481"/>
      <c r="D43" s="382"/>
      <c r="E43" s="380"/>
      <c r="F43" s="379"/>
      <c r="G43" s="401"/>
      <c r="H43" s="383"/>
      <c r="I43" s="382"/>
      <c r="J43" s="133" t="s">
        <v>599</v>
      </c>
      <c r="K43" s="39" t="s">
        <v>597</v>
      </c>
      <c r="L43" s="21">
        <v>1</v>
      </c>
      <c r="M43" s="41">
        <f>750*L43</f>
        <v>750</v>
      </c>
    </row>
    <row r="44" spans="1:13" s="10" customFormat="1" ht="49.95" customHeight="1" x14ac:dyDescent="0.25">
      <c r="A44" s="453"/>
      <c r="B44" s="481"/>
      <c r="C44" s="481"/>
      <c r="D44" s="382"/>
      <c r="E44" s="380"/>
      <c r="F44" s="379"/>
      <c r="G44" s="401"/>
      <c r="H44" s="383"/>
      <c r="I44" s="382"/>
      <c r="J44" s="133" t="s">
        <v>603</v>
      </c>
      <c r="K44" s="39" t="s">
        <v>604</v>
      </c>
      <c r="L44" s="21">
        <v>1</v>
      </c>
      <c r="M44" s="41">
        <f>299*L44</f>
        <v>299</v>
      </c>
    </row>
    <row r="45" spans="1:13" s="10" customFormat="1" ht="49.95" customHeight="1" x14ac:dyDescent="0.25">
      <c r="A45" s="453"/>
      <c r="B45" s="481"/>
      <c r="C45" s="481">
        <v>5</v>
      </c>
      <c r="D45" s="382">
        <v>45265</v>
      </c>
      <c r="E45" s="380">
        <v>2023121800007</v>
      </c>
      <c r="F45" s="379" t="s">
        <v>454</v>
      </c>
      <c r="G45" s="401" t="s">
        <v>1016</v>
      </c>
      <c r="H45" s="383" t="s">
        <v>1017</v>
      </c>
      <c r="I45" s="382">
        <v>45266</v>
      </c>
      <c r="J45" s="83" t="s">
        <v>617</v>
      </c>
      <c r="K45" s="39" t="s">
        <v>704</v>
      </c>
      <c r="L45" s="21">
        <v>173</v>
      </c>
      <c r="M45" s="41">
        <f>47*L45</f>
        <v>8131</v>
      </c>
    </row>
    <row r="46" spans="1:13" s="10" customFormat="1" ht="49.95" customHeight="1" x14ac:dyDescent="0.25">
      <c r="A46" s="453"/>
      <c r="B46" s="481"/>
      <c r="C46" s="481"/>
      <c r="D46" s="382"/>
      <c r="E46" s="380"/>
      <c r="F46" s="379"/>
      <c r="G46" s="401"/>
      <c r="H46" s="383"/>
      <c r="I46" s="382"/>
      <c r="J46" s="83" t="s">
        <v>619</v>
      </c>
      <c r="K46" s="39" t="s">
        <v>704</v>
      </c>
      <c r="L46" s="21">
        <v>10</v>
      </c>
      <c r="M46" s="41">
        <f>51*L46</f>
        <v>510</v>
      </c>
    </row>
    <row r="47" spans="1:13" s="10" customFormat="1" ht="49.95" customHeight="1" x14ac:dyDescent="0.25">
      <c r="A47" s="453"/>
      <c r="B47" s="481"/>
      <c r="C47" s="481"/>
      <c r="D47" s="382"/>
      <c r="E47" s="380"/>
      <c r="F47" s="379"/>
      <c r="G47" s="401"/>
      <c r="H47" s="383"/>
      <c r="I47" s="382"/>
      <c r="J47" s="84" t="s">
        <v>611</v>
      </c>
      <c r="K47" s="39" t="s">
        <v>609</v>
      </c>
      <c r="L47" s="21">
        <v>10</v>
      </c>
      <c r="M47" s="41">
        <f>31*L47</f>
        <v>310</v>
      </c>
    </row>
    <row r="48" spans="1:13" s="10" customFormat="1" ht="49.95" customHeight="1" x14ac:dyDescent="0.25">
      <c r="A48" s="453"/>
      <c r="B48" s="481"/>
      <c r="C48" s="481"/>
      <c r="D48" s="382"/>
      <c r="E48" s="380"/>
      <c r="F48" s="379"/>
      <c r="G48" s="401"/>
      <c r="H48" s="383"/>
      <c r="I48" s="382"/>
      <c r="J48" s="133" t="s">
        <v>598</v>
      </c>
      <c r="K48" s="39" t="s">
        <v>595</v>
      </c>
      <c r="L48" s="21">
        <v>1</v>
      </c>
      <c r="M48" s="41">
        <f>9845*L48</f>
        <v>9845</v>
      </c>
    </row>
    <row r="49" spans="1:13" s="10" customFormat="1" ht="49.95" customHeight="1" x14ac:dyDescent="0.25">
      <c r="A49" s="453"/>
      <c r="B49" s="481"/>
      <c r="C49" s="481"/>
      <c r="D49" s="382"/>
      <c r="E49" s="380"/>
      <c r="F49" s="379"/>
      <c r="G49" s="401"/>
      <c r="H49" s="383"/>
      <c r="I49" s="382"/>
      <c r="J49" s="133" t="s">
        <v>599</v>
      </c>
      <c r="K49" s="39" t="s">
        <v>597</v>
      </c>
      <c r="L49" s="21">
        <v>1</v>
      </c>
      <c r="M49" s="41">
        <f>750*L49</f>
        <v>750</v>
      </c>
    </row>
    <row r="50" spans="1:13" s="10" customFormat="1" ht="49.95" customHeight="1" x14ac:dyDescent="0.25">
      <c r="A50" s="453"/>
      <c r="B50" s="481"/>
      <c r="C50" s="481"/>
      <c r="D50" s="382"/>
      <c r="E50" s="380"/>
      <c r="F50" s="379"/>
      <c r="G50" s="401"/>
      <c r="H50" s="383"/>
      <c r="I50" s="382"/>
      <c r="J50" s="133" t="s">
        <v>603</v>
      </c>
      <c r="K50" s="39" t="s">
        <v>604</v>
      </c>
      <c r="L50" s="21">
        <v>1</v>
      </c>
      <c r="M50" s="41">
        <f>299*L50</f>
        <v>299</v>
      </c>
    </row>
    <row r="51" spans="1:13" s="10" customFormat="1" ht="49.95" customHeight="1" x14ac:dyDescent="0.25">
      <c r="A51" s="453"/>
      <c r="B51" s="481"/>
      <c r="C51" s="481"/>
      <c r="D51" s="382"/>
      <c r="E51" s="380"/>
      <c r="F51" s="379"/>
      <c r="G51" s="401"/>
      <c r="H51" s="383"/>
      <c r="I51" s="382"/>
      <c r="J51" s="133" t="s">
        <v>1018</v>
      </c>
      <c r="K51" s="39" t="s">
        <v>604</v>
      </c>
      <c r="L51" s="21">
        <v>1</v>
      </c>
      <c r="M51" s="41">
        <f>355*L51</f>
        <v>355</v>
      </c>
    </row>
    <row r="52" spans="1:13" s="10" customFormat="1" ht="49.95" customHeight="1" x14ac:dyDescent="0.25">
      <c r="A52" s="453"/>
      <c r="B52" s="481"/>
      <c r="C52" s="481">
        <v>6</v>
      </c>
      <c r="D52" s="382">
        <v>45265</v>
      </c>
      <c r="E52" s="380">
        <v>2023121800008</v>
      </c>
      <c r="F52" s="379" t="s">
        <v>454</v>
      </c>
      <c r="G52" s="401" t="s">
        <v>1014</v>
      </c>
      <c r="H52" s="383" t="s">
        <v>1015</v>
      </c>
      <c r="I52" s="382">
        <v>45266</v>
      </c>
      <c r="J52" s="83" t="s">
        <v>617</v>
      </c>
      <c r="K52" s="39" t="s">
        <v>704</v>
      </c>
      <c r="L52" s="21">
        <v>158</v>
      </c>
      <c r="M52" s="41">
        <f>47*L52</f>
        <v>7426</v>
      </c>
    </row>
    <row r="53" spans="1:13" s="10" customFormat="1" ht="49.95" customHeight="1" x14ac:dyDescent="0.25">
      <c r="A53" s="453"/>
      <c r="B53" s="481"/>
      <c r="C53" s="481"/>
      <c r="D53" s="382"/>
      <c r="E53" s="380"/>
      <c r="F53" s="379"/>
      <c r="G53" s="401"/>
      <c r="H53" s="383"/>
      <c r="I53" s="382"/>
      <c r="J53" s="83" t="s">
        <v>619</v>
      </c>
      <c r="K53" s="39" t="s">
        <v>704</v>
      </c>
      <c r="L53" s="21">
        <v>6</v>
      </c>
      <c r="M53" s="41">
        <f>51*L53</f>
        <v>306</v>
      </c>
    </row>
    <row r="54" spans="1:13" s="10" customFormat="1" ht="49.95" customHeight="1" x14ac:dyDescent="0.25">
      <c r="A54" s="453"/>
      <c r="B54" s="481"/>
      <c r="C54" s="481"/>
      <c r="D54" s="382"/>
      <c r="E54" s="380"/>
      <c r="F54" s="379"/>
      <c r="G54" s="401"/>
      <c r="H54" s="383"/>
      <c r="I54" s="382"/>
      <c r="J54" s="84" t="s">
        <v>611</v>
      </c>
      <c r="K54" s="39" t="s">
        <v>609</v>
      </c>
      <c r="L54" s="21">
        <v>10</v>
      </c>
      <c r="M54" s="41">
        <f>31*L54</f>
        <v>310</v>
      </c>
    </row>
    <row r="55" spans="1:13" s="10" customFormat="1" ht="49.95" customHeight="1" x14ac:dyDescent="0.25">
      <c r="A55" s="453"/>
      <c r="B55" s="481"/>
      <c r="C55" s="481"/>
      <c r="D55" s="382"/>
      <c r="E55" s="380"/>
      <c r="F55" s="379"/>
      <c r="G55" s="401"/>
      <c r="H55" s="383"/>
      <c r="I55" s="382"/>
      <c r="J55" s="133" t="s">
        <v>598</v>
      </c>
      <c r="K55" s="39" t="s">
        <v>595</v>
      </c>
      <c r="L55" s="21">
        <v>1</v>
      </c>
      <c r="M55" s="41">
        <f>9845*L55</f>
        <v>9845</v>
      </c>
    </row>
    <row r="56" spans="1:13" s="10" customFormat="1" ht="49.95" customHeight="1" x14ac:dyDescent="0.25">
      <c r="A56" s="453"/>
      <c r="B56" s="481"/>
      <c r="C56" s="481"/>
      <c r="D56" s="382"/>
      <c r="E56" s="380"/>
      <c r="F56" s="379"/>
      <c r="G56" s="401"/>
      <c r="H56" s="383"/>
      <c r="I56" s="382"/>
      <c r="J56" s="133" t="s">
        <v>599</v>
      </c>
      <c r="K56" s="39" t="s">
        <v>597</v>
      </c>
      <c r="L56" s="21">
        <v>1</v>
      </c>
      <c r="M56" s="41">
        <f>750*L56</f>
        <v>750</v>
      </c>
    </row>
    <row r="57" spans="1:13" s="10" customFormat="1" ht="49.95" customHeight="1" x14ac:dyDescent="0.25">
      <c r="A57" s="453"/>
      <c r="B57" s="481"/>
      <c r="C57" s="481"/>
      <c r="D57" s="382"/>
      <c r="E57" s="380"/>
      <c r="F57" s="379"/>
      <c r="G57" s="401"/>
      <c r="H57" s="383"/>
      <c r="I57" s="382"/>
      <c r="J57" s="133" t="s">
        <v>603</v>
      </c>
      <c r="K57" s="39" t="s">
        <v>604</v>
      </c>
      <c r="L57" s="21">
        <v>1</v>
      </c>
      <c r="M57" s="41">
        <f>299*L57</f>
        <v>299</v>
      </c>
    </row>
    <row r="58" spans="1:13" s="10" customFormat="1" ht="49.95" customHeight="1" x14ac:dyDescent="0.25">
      <c r="A58" s="453"/>
      <c r="B58" s="481"/>
      <c r="C58" s="481"/>
      <c r="D58" s="382"/>
      <c r="E58" s="380"/>
      <c r="F58" s="379"/>
      <c r="G58" s="401"/>
      <c r="H58" s="383"/>
      <c r="I58" s="382"/>
      <c r="J58" s="133" t="s">
        <v>695</v>
      </c>
      <c r="K58" s="39" t="s">
        <v>621</v>
      </c>
      <c r="L58" s="21">
        <v>2</v>
      </c>
      <c r="M58" s="41">
        <f>132*L58</f>
        <v>264</v>
      </c>
    </row>
    <row r="59" spans="1:13" s="10" customFormat="1" ht="49.95" customHeight="1" x14ac:dyDescent="0.25">
      <c r="A59" s="453"/>
      <c r="B59" s="481"/>
      <c r="C59" s="481">
        <v>7</v>
      </c>
      <c r="D59" s="382">
        <v>45265</v>
      </c>
      <c r="E59" s="380">
        <v>2023121800010</v>
      </c>
      <c r="F59" s="379" t="s">
        <v>454</v>
      </c>
      <c r="G59" s="401" t="s">
        <v>1010</v>
      </c>
      <c r="H59" s="383" t="s">
        <v>1011</v>
      </c>
      <c r="I59" s="382">
        <v>45266</v>
      </c>
      <c r="J59" s="83" t="s">
        <v>617</v>
      </c>
      <c r="K59" s="39" t="s">
        <v>704</v>
      </c>
      <c r="L59" s="21">
        <v>168</v>
      </c>
      <c r="M59" s="41">
        <f>47*L59</f>
        <v>7896</v>
      </c>
    </row>
    <row r="60" spans="1:13" s="10" customFormat="1" ht="49.95" customHeight="1" x14ac:dyDescent="0.25">
      <c r="A60" s="453"/>
      <c r="B60" s="481"/>
      <c r="C60" s="481"/>
      <c r="D60" s="382"/>
      <c r="E60" s="380"/>
      <c r="F60" s="379"/>
      <c r="G60" s="401"/>
      <c r="H60" s="383"/>
      <c r="I60" s="382"/>
      <c r="J60" s="83" t="s">
        <v>619</v>
      </c>
      <c r="K60" s="39" t="s">
        <v>704</v>
      </c>
      <c r="L60" s="21">
        <v>7</v>
      </c>
      <c r="M60" s="41">
        <f>51*L60</f>
        <v>357</v>
      </c>
    </row>
    <row r="61" spans="1:13" s="10" customFormat="1" ht="49.95" customHeight="1" x14ac:dyDescent="0.25">
      <c r="A61" s="453"/>
      <c r="B61" s="481"/>
      <c r="C61" s="481"/>
      <c r="D61" s="382"/>
      <c r="E61" s="380"/>
      <c r="F61" s="379"/>
      <c r="G61" s="401"/>
      <c r="H61" s="383"/>
      <c r="I61" s="382"/>
      <c r="J61" s="84" t="s">
        <v>598</v>
      </c>
      <c r="K61" s="39" t="s">
        <v>595</v>
      </c>
      <c r="L61" s="21">
        <v>1</v>
      </c>
      <c r="M61" s="41">
        <f>9845*L61</f>
        <v>9845</v>
      </c>
    </row>
    <row r="62" spans="1:13" s="10" customFormat="1" ht="49.95" customHeight="1" x14ac:dyDescent="0.25">
      <c r="A62" s="453"/>
      <c r="B62" s="481"/>
      <c r="C62" s="481"/>
      <c r="D62" s="382"/>
      <c r="E62" s="380"/>
      <c r="F62" s="379"/>
      <c r="G62" s="401"/>
      <c r="H62" s="383"/>
      <c r="I62" s="382"/>
      <c r="J62" s="83" t="s">
        <v>599</v>
      </c>
      <c r="K62" s="39" t="s">
        <v>597</v>
      </c>
      <c r="L62" s="21">
        <v>1</v>
      </c>
      <c r="M62" s="41">
        <f>750*L62</f>
        <v>750</v>
      </c>
    </row>
    <row r="63" spans="1:13" s="10" customFormat="1" ht="49.95" customHeight="1" x14ac:dyDescent="0.25">
      <c r="A63" s="453"/>
      <c r="B63" s="481"/>
      <c r="C63" s="481"/>
      <c r="D63" s="382"/>
      <c r="E63" s="380"/>
      <c r="F63" s="379"/>
      <c r="G63" s="401"/>
      <c r="H63" s="383"/>
      <c r="I63" s="382"/>
      <c r="J63" s="133" t="s">
        <v>620</v>
      </c>
      <c r="K63" s="39" t="s">
        <v>621</v>
      </c>
      <c r="L63" s="21">
        <v>1</v>
      </c>
      <c r="M63" s="41">
        <v>512</v>
      </c>
    </row>
    <row r="64" spans="1:13" s="10" customFormat="1" ht="49.95" customHeight="1" x14ac:dyDescent="0.25">
      <c r="A64" s="453"/>
      <c r="B64" s="481"/>
      <c r="C64" s="481"/>
      <c r="D64" s="382"/>
      <c r="E64" s="380"/>
      <c r="F64" s="379"/>
      <c r="G64" s="401"/>
      <c r="H64" s="383"/>
      <c r="I64" s="382"/>
      <c r="J64" s="133" t="s">
        <v>603</v>
      </c>
      <c r="K64" s="39" t="s">
        <v>604</v>
      </c>
      <c r="L64" s="21">
        <v>1</v>
      </c>
      <c r="M64" s="41">
        <f>299*L64</f>
        <v>299</v>
      </c>
    </row>
    <row r="65" spans="1:13" s="10" customFormat="1" ht="49.95" customHeight="1" x14ac:dyDescent="0.25">
      <c r="A65" s="453"/>
      <c r="B65" s="481"/>
      <c r="C65" s="481"/>
      <c r="D65" s="382"/>
      <c r="E65" s="380"/>
      <c r="F65" s="379"/>
      <c r="G65" s="401"/>
      <c r="H65" s="383"/>
      <c r="I65" s="382"/>
      <c r="J65" s="133" t="s">
        <v>695</v>
      </c>
      <c r="K65" s="39" t="s">
        <v>621</v>
      </c>
      <c r="L65" s="21">
        <v>2</v>
      </c>
      <c r="M65" s="41">
        <f>132*L65</f>
        <v>264</v>
      </c>
    </row>
    <row r="66" spans="1:13" s="10" customFormat="1" ht="49.95" customHeight="1" x14ac:dyDescent="0.25">
      <c r="A66" s="453"/>
      <c r="B66" s="481"/>
      <c r="C66" s="481">
        <v>8</v>
      </c>
      <c r="D66" s="382">
        <v>45275</v>
      </c>
      <c r="E66" s="380">
        <v>2023121800011</v>
      </c>
      <c r="F66" s="379" t="s">
        <v>25</v>
      </c>
      <c r="G66" s="482" t="s">
        <v>1008</v>
      </c>
      <c r="H66" s="383" t="s">
        <v>1009</v>
      </c>
      <c r="I66" s="382">
        <v>45276</v>
      </c>
      <c r="J66" s="83" t="s">
        <v>617</v>
      </c>
      <c r="K66" s="39" t="s">
        <v>704</v>
      </c>
      <c r="L66" s="21">
        <v>152</v>
      </c>
      <c r="M66" s="41">
        <f>47*L66</f>
        <v>7144</v>
      </c>
    </row>
    <row r="67" spans="1:13" s="10" customFormat="1" ht="49.95" customHeight="1" x14ac:dyDescent="0.25">
      <c r="A67" s="453"/>
      <c r="B67" s="481"/>
      <c r="C67" s="481"/>
      <c r="D67" s="382"/>
      <c r="E67" s="380"/>
      <c r="F67" s="379"/>
      <c r="G67" s="482"/>
      <c r="H67" s="383"/>
      <c r="I67" s="382"/>
      <c r="J67" s="83" t="s">
        <v>619</v>
      </c>
      <c r="K67" s="39" t="s">
        <v>704</v>
      </c>
      <c r="L67" s="21">
        <v>5</v>
      </c>
      <c r="M67" s="41">
        <f>51*L67</f>
        <v>255</v>
      </c>
    </row>
    <row r="68" spans="1:13" s="10" customFormat="1" ht="49.95" customHeight="1" x14ac:dyDescent="0.25">
      <c r="A68" s="453"/>
      <c r="B68" s="481"/>
      <c r="C68" s="481"/>
      <c r="D68" s="382"/>
      <c r="E68" s="380"/>
      <c r="F68" s="379"/>
      <c r="G68" s="482"/>
      <c r="H68" s="383"/>
      <c r="I68" s="382"/>
      <c r="J68" s="133" t="s">
        <v>628</v>
      </c>
      <c r="K68" s="39" t="s">
        <v>600</v>
      </c>
      <c r="L68" s="21">
        <v>1</v>
      </c>
      <c r="M68" s="134">
        <f>354*L68</f>
        <v>354</v>
      </c>
    </row>
    <row r="69" spans="1:13" s="10" customFormat="1" ht="49.95" customHeight="1" x14ac:dyDescent="0.25">
      <c r="A69" s="453"/>
      <c r="B69" s="481"/>
      <c r="C69" s="481"/>
      <c r="D69" s="382"/>
      <c r="E69" s="380"/>
      <c r="F69" s="379"/>
      <c r="G69" s="482"/>
      <c r="H69" s="383"/>
      <c r="I69" s="382"/>
      <c r="J69" s="133" t="s">
        <v>605</v>
      </c>
      <c r="K69" s="39" t="s">
        <v>600</v>
      </c>
      <c r="L69" s="21">
        <v>1</v>
      </c>
      <c r="M69" s="41">
        <f>1066*L69</f>
        <v>1066</v>
      </c>
    </row>
    <row r="70" spans="1:13" s="10" customFormat="1" ht="49.95" customHeight="1" x14ac:dyDescent="0.25">
      <c r="A70" s="453"/>
      <c r="B70" s="481"/>
      <c r="C70" s="481"/>
      <c r="D70" s="382"/>
      <c r="E70" s="380"/>
      <c r="F70" s="379"/>
      <c r="G70" s="482"/>
      <c r="H70" s="383"/>
      <c r="I70" s="382"/>
      <c r="J70" s="133" t="s">
        <v>603</v>
      </c>
      <c r="K70" s="39" t="s">
        <v>604</v>
      </c>
      <c r="L70" s="21">
        <v>1</v>
      </c>
      <c r="M70" s="41">
        <f>299*L70</f>
        <v>299</v>
      </c>
    </row>
    <row r="71" spans="1:13" s="10" customFormat="1" ht="49.95" customHeight="1" x14ac:dyDescent="0.25">
      <c r="A71" s="453"/>
      <c r="B71" s="481"/>
      <c r="C71" s="481"/>
      <c r="D71" s="382"/>
      <c r="E71" s="380"/>
      <c r="F71" s="379"/>
      <c r="G71" s="482"/>
      <c r="H71" s="383"/>
      <c r="I71" s="382"/>
      <c r="J71" s="133" t="s">
        <v>695</v>
      </c>
      <c r="K71" s="39" t="s">
        <v>621</v>
      </c>
      <c r="L71" s="21">
        <v>2</v>
      </c>
      <c r="M71" s="41">
        <f>132*L71</f>
        <v>264</v>
      </c>
    </row>
    <row r="72" spans="1:13" s="10" customFormat="1" ht="49.95" customHeight="1" x14ac:dyDescent="0.25">
      <c r="A72" s="453"/>
      <c r="B72" s="481"/>
      <c r="C72" s="481"/>
      <c r="D72" s="382"/>
      <c r="E72" s="380"/>
      <c r="F72" s="379"/>
      <c r="G72" s="482"/>
      <c r="H72" s="383"/>
      <c r="I72" s="382"/>
      <c r="J72" s="133" t="s">
        <v>703</v>
      </c>
      <c r="K72" s="39" t="s">
        <v>621</v>
      </c>
      <c r="L72" s="21">
        <v>1</v>
      </c>
      <c r="M72" s="41">
        <f>1181*L72</f>
        <v>1181</v>
      </c>
    </row>
    <row r="73" spans="1:13" s="10" customFormat="1" ht="82.8" customHeight="1" x14ac:dyDescent="0.25">
      <c r="A73" s="453"/>
      <c r="B73" s="481"/>
      <c r="C73" s="481">
        <v>9</v>
      </c>
      <c r="D73" s="382">
        <v>45275</v>
      </c>
      <c r="E73" s="380">
        <v>2023121800009</v>
      </c>
      <c r="F73" s="379" t="s">
        <v>454</v>
      </c>
      <c r="G73" s="482" t="s">
        <v>1012</v>
      </c>
      <c r="H73" s="383" t="s">
        <v>1013</v>
      </c>
      <c r="I73" s="382">
        <v>45276</v>
      </c>
      <c r="J73" s="83" t="s">
        <v>617</v>
      </c>
      <c r="K73" s="39" t="s">
        <v>704</v>
      </c>
      <c r="L73" s="21">
        <v>152</v>
      </c>
      <c r="M73" s="41">
        <f>47*L73</f>
        <v>7144</v>
      </c>
    </row>
    <row r="74" spans="1:13" s="10" customFormat="1" ht="82.8" customHeight="1" x14ac:dyDescent="0.25">
      <c r="A74" s="453"/>
      <c r="B74" s="481"/>
      <c r="C74" s="481"/>
      <c r="D74" s="382"/>
      <c r="E74" s="380"/>
      <c r="F74" s="379"/>
      <c r="G74" s="482"/>
      <c r="H74" s="383"/>
      <c r="I74" s="382"/>
      <c r="J74" s="83" t="s">
        <v>619</v>
      </c>
      <c r="K74" s="39" t="s">
        <v>704</v>
      </c>
      <c r="L74" s="21">
        <v>5</v>
      </c>
      <c r="M74" s="41">
        <f>51*L74</f>
        <v>255</v>
      </c>
    </row>
    <row r="75" spans="1:13" s="10" customFormat="1" ht="82.8" customHeight="1" x14ac:dyDescent="0.25">
      <c r="A75" s="453"/>
      <c r="B75" s="481"/>
      <c r="C75" s="481"/>
      <c r="D75" s="382"/>
      <c r="E75" s="380"/>
      <c r="F75" s="379"/>
      <c r="G75" s="482"/>
      <c r="H75" s="383"/>
      <c r="I75" s="382"/>
      <c r="J75" s="133" t="s">
        <v>603</v>
      </c>
      <c r="K75" s="39" t="s">
        <v>604</v>
      </c>
      <c r="L75" s="21">
        <v>1</v>
      </c>
      <c r="M75" s="41">
        <f>299*L75</f>
        <v>299</v>
      </c>
    </row>
    <row r="76" spans="1:13" s="10" customFormat="1" ht="82.8" customHeight="1" x14ac:dyDescent="0.25">
      <c r="A76" s="453"/>
      <c r="B76" s="481"/>
      <c r="C76" s="481"/>
      <c r="D76" s="382"/>
      <c r="E76" s="380"/>
      <c r="F76" s="379"/>
      <c r="G76" s="482"/>
      <c r="H76" s="383"/>
      <c r="I76" s="382"/>
      <c r="J76" s="133" t="s">
        <v>695</v>
      </c>
      <c r="K76" s="39" t="s">
        <v>621</v>
      </c>
      <c r="L76" s="21">
        <v>2</v>
      </c>
      <c r="M76" s="41">
        <f>132*L76</f>
        <v>264</v>
      </c>
    </row>
    <row r="77" spans="1:13" s="10" customFormat="1" ht="72.599999999999994" customHeight="1" x14ac:dyDescent="0.25">
      <c r="A77" s="453"/>
      <c r="B77" s="481"/>
      <c r="C77" s="481">
        <v>10</v>
      </c>
      <c r="D77" s="382">
        <v>45275</v>
      </c>
      <c r="E77" s="380">
        <v>2023121800006</v>
      </c>
      <c r="F77" s="379" t="s">
        <v>454</v>
      </c>
      <c r="G77" s="383" t="s">
        <v>1033</v>
      </c>
      <c r="H77" s="383" t="s">
        <v>1034</v>
      </c>
      <c r="I77" s="382">
        <v>45276</v>
      </c>
      <c r="J77" s="83" t="s">
        <v>617</v>
      </c>
      <c r="K77" s="39" t="s">
        <v>704</v>
      </c>
      <c r="L77" s="21">
        <v>153</v>
      </c>
      <c r="M77" s="41">
        <f>47*L77</f>
        <v>7191</v>
      </c>
    </row>
    <row r="78" spans="1:13" s="10" customFormat="1" ht="72.599999999999994" customHeight="1" x14ac:dyDescent="0.25">
      <c r="A78" s="453"/>
      <c r="B78" s="481"/>
      <c r="C78" s="481"/>
      <c r="D78" s="382"/>
      <c r="E78" s="380"/>
      <c r="F78" s="379"/>
      <c r="G78" s="383"/>
      <c r="H78" s="383"/>
      <c r="I78" s="382"/>
      <c r="J78" s="83" t="s">
        <v>619</v>
      </c>
      <c r="K78" s="39" t="s">
        <v>704</v>
      </c>
      <c r="L78" s="21">
        <v>6</v>
      </c>
      <c r="M78" s="41">
        <f>51*L78</f>
        <v>306</v>
      </c>
    </row>
    <row r="79" spans="1:13" s="10" customFormat="1" ht="72.599999999999994" customHeight="1" x14ac:dyDescent="0.25">
      <c r="A79" s="453"/>
      <c r="B79" s="481"/>
      <c r="C79" s="481"/>
      <c r="D79" s="382"/>
      <c r="E79" s="380"/>
      <c r="F79" s="379"/>
      <c r="G79" s="383"/>
      <c r="H79" s="383"/>
      <c r="I79" s="382"/>
      <c r="J79" s="133" t="s">
        <v>605</v>
      </c>
      <c r="K79" s="39" t="s">
        <v>600</v>
      </c>
      <c r="L79" s="21">
        <v>1</v>
      </c>
      <c r="M79" s="41">
        <f>1066*L79</f>
        <v>1066</v>
      </c>
    </row>
    <row r="80" spans="1:13" s="10" customFormat="1" ht="72.599999999999994" customHeight="1" x14ac:dyDescent="0.25">
      <c r="A80" s="453"/>
      <c r="B80" s="481"/>
      <c r="C80" s="481"/>
      <c r="D80" s="382"/>
      <c r="E80" s="380"/>
      <c r="F80" s="379"/>
      <c r="G80" s="383"/>
      <c r="H80" s="383"/>
      <c r="I80" s="382"/>
      <c r="J80" s="133" t="s">
        <v>603</v>
      </c>
      <c r="K80" s="39" t="s">
        <v>604</v>
      </c>
      <c r="L80" s="21">
        <v>1</v>
      </c>
      <c r="M80" s="41">
        <f>299*L80</f>
        <v>299</v>
      </c>
    </row>
    <row r="81" spans="1:13" s="10" customFormat="1" ht="49.95" customHeight="1" x14ac:dyDescent="0.25">
      <c r="A81" s="453"/>
      <c r="B81" s="481"/>
      <c r="C81" s="481">
        <v>11</v>
      </c>
      <c r="D81" s="382">
        <v>45275</v>
      </c>
      <c r="E81" s="380">
        <v>2023121800002</v>
      </c>
      <c r="F81" s="379" t="s">
        <v>454</v>
      </c>
      <c r="G81" s="401" t="s">
        <v>1025</v>
      </c>
      <c r="H81" s="383" t="s">
        <v>1026</v>
      </c>
      <c r="I81" s="382">
        <v>45276</v>
      </c>
      <c r="J81" s="83" t="s">
        <v>617</v>
      </c>
      <c r="K81" s="39" t="s">
        <v>704</v>
      </c>
      <c r="L81" s="21">
        <v>153</v>
      </c>
      <c r="M81" s="41">
        <f>47*L81</f>
        <v>7191</v>
      </c>
    </row>
    <row r="82" spans="1:13" s="10" customFormat="1" ht="49.95" customHeight="1" x14ac:dyDescent="0.25">
      <c r="A82" s="453"/>
      <c r="B82" s="481"/>
      <c r="C82" s="481"/>
      <c r="D82" s="382"/>
      <c r="E82" s="380"/>
      <c r="F82" s="379"/>
      <c r="G82" s="401"/>
      <c r="H82" s="383"/>
      <c r="I82" s="382"/>
      <c r="J82" s="83" t="s">
        <v>619</v>
      </c>
      <c r="K82" s="39" t="s">
        <v>704</v>
      </c>
      <c r="L82" s="21">
        <v>7</v>
      </c>
      <c r="M82" s="41">
        <f>51*L82</f>
        <v>357</v>
      </c>
    </row>
    <row r="83" spans="1:13" s="10" customFormat="1" ht="49.95" customHeight="1" x14ac:dyDescent="0.25">
      <c r="A83" s="453"/>
      <c r="B83" s="481"/>
      <c r="C83" s="481"/>
      <c r="D83" s="382"/>
      <c r="E83" s="380"/>
      <c r="F83" s="379"/>
      <c r="G83" s="401"/>
      <c r="H83" s="383"/>
      <c r="I83" s="382"/>
      <c r="J83" s="84" t="s">
        <v>611</v>
      </c>
      <c r="K83" s="39" t="s">
        <v>609</v>
      </c>
      <c r="L83" s="21">
        <v>10</v>
      </c>
      <c r="M83" s="41">
        <f>31*L83</f>
        <v>310</v>
      </c>
    </row>
    <row r="84" spans="1:13" s="10" customFormat="1" ht="49.95" customHeight="1" x14ac:dyDescent="0.25">
      <c r="A84" s="453"/>
      <c r="B84" s="481"/>
      <c r="C84" s="481"/>
      <c r="D84" s="382"/>
      <c r="E84" s="380"/>
      <c r="F84" s="379"/>
      <c r="G84" s="401"/>
      <c r="H84" s="383"/>
      <c r="I84" s="382"/>
      <c r="J84" s="133" t="s">
        <v>598</v>
      </c>
      <c r="K84" s="39" t="s">
        <v>595</v>
      </c>
      <c r="L84" s="21">
        <v>1</v>
      </c>
      <c r="M84" s="41">
        <f>9845*L84</f>
        <v>9845</v>
      </c>
    </row>
    <row r="85" spans="1:13" s="10" customFormat="1" ht="49.95" customHeight="1" x14ac:dyDescent="0.25">
      <c r="A85" s="453"/>
      <c r="B85" s="481"/>
      <c r="C85" s="481"/>
      <c r="D85" s="382"/>
      <c r="E85" s="380"/>
      <c r="F85" s="379"/>
      <c r="G85" s="401"/>
      <c r="H85" s="383"/>
      <c r="I85" s="382"/>
      <c r="J85" s="133" t="s">
        <v>599</v>
      </c>
      <c r="K85" s="39" t="s">
        <v>597</v>
      </c>
      <c r="L85" s="21">
        <v>1</v>
      </c>
      <c r="M85" s="41">
        <f>750*L85</f>
        <v>750</v>
      </c>
    </row>
    <row r="86" spans="1:13" s="10" customFormat="1" ht="49.95" customHeight="1" x14ac:dyDescent="0.25">
      <c r="A86" s="453"/>
      <c r="B86" s="481"/>
      <c r="C86" s="481"/>
      <c r="D86" s="382"/>
      <c r="E86" s="380"/>
      <c r="F86" s="379"/>
      <c r="G86" s="401"/>
      <c r="H86" s="383"/>
      <c r="I86" s="382"/>
      <c r="J86" s="133" t="s">
        <v>603</v>
      </c>
      <c r="K86" s="39" t="s">
        <v>604</v>
      </c>
      <c r="L86" s="21">
        <v>1</v>
      </c>
      <c r="M86" s="41">
        <f>299*L86</f>
        <v>299</v>
      </c>
    </row>
    <row r="87" spans="1:13" s="10" customFormat="1" ht="71.400000000000006" customHeight="1" x14ac:dyDescent="0.25">
      <c r="A87" s="453"/>
      <c r="B87" s="481"/>
      <c r="C87" s="481">
        <v>12</v>
      </c>
      <c r="D87" s="382">
        <v>45275</v>
      </c>
      <c r="E87" s="380">
        <v>2023121800001</v>
      </c>
      <c r="F87" s="379" t="s">
        <v>454</v>
      </c>
      <c r="G87" s="401" t="s">
        <v>1027</v>
      </c>
      <c r="H87" s="383" t="s">
        <v>1028</v>
      </c>
      <c r="I87" s="382">
        <v>45276</v>
      </c>
      <c r="J87" s="83" t="s">
        <v>617</v>
      </c>
      <c r="K87" s="39" t="s">
        <v>704</v>
      </c>
      <c r="L87" s="21">
        <v>153</v>
      </c>
      <c r="M87" s="41">
        <f>47*L87</f>
        <v>7191</v>
      </c>
    </row>
    <row r="88" spans="1:13" s="10" customFormat="1" ht="71.400000000000006" customHeight="1" x14ac:dyDescent="0.25">
      <c r="A88" s="453"/>
      <c r="B88" s="481"/>
      <c r="C88" s="481"/>
      <c r="D88" s="382"/>
      <c r="E88" s="380"/>
      <c r="F88" s="379"/>
      <c r="G88" s="401"/>
      <c r="H88" s="383"/>
      <c r="I88" s="382"/>
      <c r="J88" s="83" t="s">
        <v>619</v>
      </c>
      <c r="K88" s="39" t="s">
        <v>704</v>
      </c>
      <c r="L88" s="21">
        <v>7</v>
      </c>
      <c r="M88" s="41">
        <f>51*L88</f>
        <v>357</v>
      </c>
    </row>
    <row r="89" spans="1:13" s="10" customFormat="1" ht="71.400000000000006" customHeight="1" x14ac:dyDescent="0.25">
      <c r="A89" s="453"/>
      <c r="B89" s="481"/>
      <c r="C89" s="481"/>
      <c r="D89" s="382"/>
      <c r="E89" s="380"/>
      <c r="F89" s="379"/>
      <c r="G89" s="401"/>
      <c r="H89" s="383"/>
      <c r="I89" s="382"/>
      <c r="J89" s="84" t="s">
        <v>611</v>
      </c>
      <c r="K89" s="39" t="s">
        <v>609</v>
      </c>
      <c r="L89" s="21">
        <v>10</v>
      </c>
      <c r="M89" s="41">
        <f>31*L89</f>
        <v>310</v>
      </c>
    </row>
    <row r="90" spans="1:13" s="10" customFormat="1" ht="71.400000000000006" customHeight="1" x14ac:dyDescent="0.25">
      <c r="A90" s="453"/>
      <c r="B90" s="481"/>
      <c r="C90" s="481"/>
      <c r="D90" s="382"/>
      <c r="E90" s="380"/>
      <c r="F90" s="379"/>
      <c r="G90" s="401"/>
      <c r="H90" s="383"/>
      <c r="I90" s="382"/>
      <c r="J90" s="133" t="s">
        <v>603</v>
      </c>
      <c r="K90" s="39" t="s">
        <v>604</v>
      </c>
      <c r="L90" s="21">
        <v>1</v>
      </c>
      <c r="M90" s="41">
        <f>299*L90</f>
        <v>299</v>
      </c>
    </row>
    <row r="91" spans="1:13" s="10" customFormat="1" ht="71.400000000000006" customHeight="1" x14ac:dyDescent="0.25">
      <c r="A91" s="453"/>
      <c r="B91" s="481"/>
      <c r="C91" s="481"/>
      <c r="D91" s="382"/>
      <c r="E91" s="380"/>
      <c r="F91" s="379"/>
      <c r="G91" s="401"/>
      <c r="H91" s="383"/>
      <c r="I91" s="382"/>
      <c r="J91" s="133" t="s">
        <v>695</v>
      </c>
      <c r="K91" s="39" t="s">
        <v>621</v>
      </c>
      <c r="L91" s="21">
        <v>2</v>
      </c>
      <c r="M91" s="41">
        <f>132*L91</f>
        <v>264</v>
      </c>
    </row>
    <row r="92" spans="1:13" s="10" customFormat="1" ht="71.400000000000006" customHeight="1" x14ac:dyDescent="0.25">
      <c r="A92" s="453"/>
      <c r="B92" s="481"/>
      <c r="C92" s="481"/>
      <c r="D92" s="382"/>
      <c r="E92" s="380"/>
      <c r="F92" s="379"/>
      <c r="G92" s="401"/>
      <c r="H92" s="383"/>
      <c r="I92" s="382"/>
      <c r="J92" s="133" t="s">
        <v>703</v>
      </c>
      <c r="K92" s="39" t="s">
        <v>621</v>
      </c>
      <c r="L92" s="21">
        <v>1</v>
      </c>
      <c r="M92" s="41">
        <f>1181*L92</f>
        <v>1181</v>
      </c>
    </row>
    <row r="93" spans="1:13" s="10" customFormat="1" ht="49.95" customHeight="1" x14ac:dyDescent="0.25">
      <c r="A93" s="453"/>
      <c r="B93" s="481"/>
      <c r="C93" s="481">
        <v>13</v>
      </c>
      <c r="D93" s="382">
        <v>45275</v>
      </c>
      <c r="E93" s="380">
        <v>2023121400003</v>
      </c>
      <c r="F93" s="379" t="s">
        <v>454</v>
      </c>
      <c r="G93" s="401" t="s">
        <v>1029</v>
      </c>
      <c r="H93" s="383" t="s">
        <v>1030</v>
      </c>
      <c r="I93" s="382">
        <v>45276</v>
      </c>
      <c r="J93" s="83" t="s">
        <v>617</v>
      </c>
      <c r="K93" s="39" t="s">
        <v>704</v>
      </c>
      <c r="L93" s="21">
        <v>110</v>
      </c>
      <c r="M93" s="41">
        <f>47*L93</f>
        <v>5170</v>
      </c>
    </row>
    <row r="94" spans="1:13" s="10" customFormat="1" ht="49.95" customHeight="1" x14ac:dyDescent="0.25">
      <c r="A94" s="453"/>
      <c r="B94" s="481"/>
      <c r="C94" s="481"/>
      <c r="D94" s="382"/>
      <c r="E94" s="380"/>
      <c r="F94" s="379"/>
      <c r="G94" s="401"/>
      <c r="H94" s="383"/>
      <c r="I94" s="382"/>
      <c r="J94" s="83" t="s">
        <v>619</v>
      </c>
      <c r="K94" s="39" t="s">
        <v>704</v>
      </c>
      <c r="L94" s="21">
        <v>5</v>
      </c>
      <c r="M94" s="41">
        <f>51*L94</f>
        <v>255</v>
      </c>
    </row>
    <row r="95" spans="1:13" s="10" customFormat="1" ht="49.95" customHeight="1" x14ac:dyDescent="0.25">
      <c r="A95" s="453"/>
      <c r="B95" s="481"/>
      <c r="C95" s="481"/>
      <c r="D95" s="382"/>
      <c r="E95" s="380"/>
      <c r="F95" s="379"/>
      <c r="G95" s="401"/>
      <c r="H95" s="383"/>
      <c r="I95" s="382"/>
      <c r="J95" s="133" t="s">
        <v>620</v>
      </c>
      <c r="K95" s="39" t="s">
        <v>621</v>
      </c>
      <c r="L95" s="21">
        <v>1</v>
      </c>
      <c r="M95" s="41">
        <v>512</v>
      </c>
    </row>
    <row r="96" spans="1:13" s="10" customFormat="1" ht="49.95" customHeight="1" x14ac:dyDescent="0.25">
      <c r="A96" s="453"/>
      <c r="B96" s="481"/>
      <c r="C96" s="481"/>
      <c r="D96" s="382"/>
      <c r="E96" s="380"/>
      <c r="F96" s="379"/>
      <c r="G96" s="401"/>
      <c r="H96" s="383"/>
      <c r="I96" s="382"/>
      <c r="J96" s="133" t="s">
        <v>603</v>
      </c>
      <c r="K96" s="39" t="s">
        <v>604</v>
      </c>
      <c r="L96" s="21">
        <v>1</v>
      </c>
      <c r="M96" s="41">
        <f>299*L96</f>
        <v>299</v>
      </c>
    </row>
    <row r="97" spans="1:13" s="10" customFormat="1" ht="31.8" customHeight="1" x14ac:dyDescent="0.25">
      <c r="A97" s="453"/>
      <c r="B97" s="481"/>
      <c r="C97" s="381" t="s">
        <v>1082</v>
      </c>
      <c r="D97" s="381"/>
      <c r="E97" s="381"/>
      <c r="F97" s="381"/>
      <c r="G97" s="381"/>
      <c r="H97" s="381"/>
      <c r="I97" s="381"/>
      <c r="J97" s="325" t="s">
        <v>617</v>
      </c>
      <c r="K97" s="263" t="s">
        <v>704</v>
      </c>
      <c r="L97" s="264">
        <v>2005</v>
      </c>
      <c r="M97" s="327">
        <f>47*L97</f>
        <v>94235</v>
      </c>
    </row>
    <row r="98" spans="1:13" s="10" customFormat="1" ht="31.8" customHeight="1" x14ac:dyDescent="0.25">
      <c r="A98" s="453"/>
      <c r="B98" s="481"/>
      <c r="C98" s="381"/>
      <c r="D98" s="381"/>
      <c r="E98" s="381"/>
      <c r="F98" s="381"/>
      <c r="G98" s="381"/>
      <c r="H98" s="381"/>
      <c r="I98" s="381"/>
      <c r="J98" s="325" t="s">
        <v>619</v>
      </c>
      <c r="K98" s="263" t="s">
        <v>704</v>
      </c>
      <c r="L98" s="264">
        <v>82</v>
      </c>
      <c r="M98" s="327">
        <f>51*L98</f>
        <v>4182</v>
      </c>
    </row>
    <row r="99" spans="1:13" s="10" customFormat="1" ht="31.8" customHeight="1" x14ac:dyDescent="0.25">
      <c r="A99" s="453"/>
      <c r="B99" s="481"/>
      <c r="C99" s="381"/>
      <c r="D99" s="381"/>
      <c r="E99" s="381"/>
      <c r="F99" s="381"/>
      <c r="G99" s="381"/>
      <c r="H99" s="381"/>
      <c r="I99" s="381"/>
      <c r="J99" s="326" t="s">
        <v>611</v>
      </c>
      <c r="K99" s="263" t="s">
        <v>609</v>
      </c>
      <c r="L99" s="264">
        <v>50</v>
      </c>
      <c r="M99" s="327">
        <f>31*L99</f>
        <v>1550</v>
      </c>
    </row>
    <row r="100" spans="1:13" s="10" customFormat="1" ht="31.8" customHeight="1" x14ac:dyDescent="0.25">
      <c r="A100" s="453"/>
      <c r="B100" s="481"/>
      <c r="C100" s="381"/>
      <c r="D100" s="381"/>
      <c r="E100" s="381"/>
      <c r="F100" s="381"/>
      <c r="G100" s="381"/>
      <c r="H100" s="381"/>
      <c r="I100" s="381"/>
      <c r="J100" s="260" t="s">
        <v>598</v>
      </c>
      <c r="K100" s="263" t="s">
        <v>595</v>
      </c>
      <c r="L100" s="264">
        <v>8</v>
      </c>
      <c r="M100" s="327">
        <f>9845*8</f>
        <v>78760</v>
      </c>
    </row>
    <row r="101" spans="1:13" s="10" customFormat="1" ht="31.8" customHeight="1" x14ac:dyDescent="0.25">
      <c r="A101" s="453"/>
      <c r="B101" s="481"/>
      <c r="C101" s="381"/>
      <c r="D101" s="381"/>
      <c r="E101" s="381"/>
      <c r="F101" s="381"/>
      <c r="G101" s="381"/>
      <c r="H101" s="381"/>
      <c r="I101" s="381"/>
      <c r="J101" s="260" t="s">
        <v>599</v>
      </c>
      <c r="K101" s="263" t="s">
        <v>597</v>
      </c>
      <c r="L101" s="264">
        <v>8</v>
      </c>
      <c r="M101" s="327">
        <f>750*8</f>
        <v>6000</v>
      </c>
    </row>
    <row r="102" spans="1:13" s="10" customFormat="1" ht="31.8" customHeight="1" x14ac:dyDescent="0.25">
      <c r="A102" s="453"/>
      <c r="B102" s="481"/>
      <c r="C102" s="381"/>
      <c r="D102" s="381"/>
      <c r="E102" s="381"/>
      <c r="F102" s="381"/>
      <c r="G102" s="381"/>
      <c r="H102" s="381"/>
      <c r="I102" s="381"/>
      <c r="J102" s="260" t="s">
        <v>1007</v>
      </c>
      <c r="K102" s="263" t="s">
        <v>1006</v>
      </c>
      <c r="L102" s="264">
        <v>6</v>
      </c>
      <c r="M102" s="327">
        <f>394*L102</f>
        <v>2364</v>
      </c>
    </row>
    <row r="103" spans="1:13" s="10" customFormat="1" ht="31.8" customHeight="1" x14ac:dyDescent="0.25">
      <c r="A103" s="453"/>
      <c r="B103" s="481"/>
      <c r="C103" s="381"/>
      <c r="D103" s="381"/>
      <c r="E103" s="381"/>
      <c r="F103" s="381"/>
      <c r="G103" s="381"/>
      <c r="H103" s="381"/>
      <c r="I103" s="381"/>
      <c r="J103" s="260" t="s">
        <v>624</v>
      </c>
      <c r="K103" s="263" t="s">
        <v>600</v>
      </c>
      <c r="L103" s="264">
        <v>1</v>
      </c>
      <c r="M103" s="327">
        <f>1102*L103</f>
        <v>1102</v>
      </c>
    </row>
    <row r="104" spans="1:13" s="10" customFormat="1" ht="31.8" customHeight="1" x14ac:dyDescent="0.25">
      <c r="A104" s="453"/>
      <c r="B104" s="481"/>
      <c r="C104" s="381"/>
      <c r="D104" s="381"/>
      <c r="E104" s="381"/>
      <c r="F104" s="381"/>
      <c r="G104" s="381"/>
      <c r="H104" s="381"/>
      <c r="I104" s="381"/>
      <c r="J104" s="260" t="s">
        <v>620</v>
      </c>
      <c r="K104" s="263" t="s">
        <v>621</v>
      </c>
      <c r="L104" s="264">
        <v>3</v>
      </c>
      <c r="M104" s="327">
        <f>512*L104</f>
        <v>1536</v>
      </c>
    </row>
    <row r="105" spans="1:13" s="10" customFormat="1" ht="31.8" customHeight="1" x14ac:dyDescent="0.25">
      <c r="A105" s="453"/>
      <c r="B105" s="481"/>
      <c r="C105" s="381"/>
      <c r="D105" s="381"/>
      <c r="E105" s="381"/>
      <c r="F105" s="381"/>
      <c r="G105" s="381"/>
      <c r="H105" s="381"/>
      <c r="I105" s="381"/>
      <c r="J105" s="260" t="s">
        <v>628</v>
      </c>
      <c r="K105" s="263" t="s">
        <v>600</v>
      </c>
      <c r="L105" s="264">
        <v>1</v>
      </c>
      <c r="M105" s="327">
        <f>354*L105</f>
        <v>354</v>
      </c>
    </row>
    <row r="106" spans="1:13" s="10" customFormat="1" ht="31.8" customHeight="1" x14ac:dyDescent="0.25">
      <c r="A106" s="453"/>
      <c r="B106" s="481"/>
      <c r="C106" s="381"/>
      <c r="D106" s="381"/>
      <c r="E106" s="381"/>
      <c r="F106" s="381"/>
      <c r="G106" s="381"/>
      <c r="H106" s="381"/>
      <c r="I106" s="381"/>
      <c r="J106" s="260" t="s">
        <v>605</v>
      </c>
      <c r="K106" s="263" t="s">
        <v>600</v>
      </c>
      <c r="L106" s="264">
        <v>2</v>
      </c>
      <c r="M106" s="327">
        <f>1066*L106</f>
        <v>2132</v>
      </c>
    </row>
    <row r="107" spans="1:13" s="10" customFormat="1" ht="31.8" customHeight="1" x14ac:dyDescent="0.25">
      <c r="A107" s="453"/>
      <c r="B107" s="481"/>
      <c r="C107" s="381"/>
      <c r="D107" s="381"/>
      <c r="E107" s="381"/>
      <c r="F107" s="381"/>
      <c r="G107" s="381"/>
      <c r="H107" s="381"/>
      <c r="I107" s="381"/>
      <c r="J107" s="260" t="s">
        <v>603</v>
      </c>
      <c r="K107" s="263" t="s">
        <v>604</v>
      </c>
      <c r="L107" s="264">
        <v>13</v>
      </c>
      <c r="M107" s="327">
        <f>299*L107</f>
        <v>3887</v>
      </c>
    </row>
    <row r="108" spans="1:13" s="10" customFormat="1" ht="31.8" customHeight="1" x14ac:dyDescent="0.25">
      <c r="A108" s="453"/>
      <c r="B108" s="481"/>
      <c r="C108" s="381"/>
      <c r="D108" s="381"/>
      <c r="E108" s="381"/>
      <c r="F108" s="381"/>
      <c r="G108" s="381"/>
      <c r="H108" s="381"/>
      <c r="I108" s="381"/>
      <c r="J108" s="260" t="s">
        <v>695</v>
      </c>
      <c r="K108" s="263" t="s">
        <v>621</v>
      </c>
      <c r="L108" s="264">
        <v>10</v>
      </c>
      <c r="M108" s="327">
        <f>132*L108</f>
        <v>1320</v>
      </c>
    </row>
    <row r="109" spans="1:13" s="10" customFormat="1" ht="31.8" customHeight="1" x14ac:dyDescent="0.25">
      <c r="A109" s="453"/>
      <c r="B109" s="481"/>
      <c r="C109" s="381"/>
      <c r="D109" s="381"/>
      <c r="E109" s="381"/>
      <c r="F109" s="381"/>
      <c r="G109" s="381"/>
      <c r="H109" s="381"/>
      <c r="I109" s="381"/>
      <c r="J109" s="260" t="s">
        <v>703</v>
      </c>
      <c r="K109" s="263" t="s">
        <v>621</v>
      </c>
      <c r="L109" s="264">
        <v>5</v>
      </c>
      <c r="M109" s="327">
        <f>1181*L109</f>
        <v>5905</v>
      </c>
    </row>
    <row r="110" spans="1:13" s="10" customFormat="1" ht="31.8" customHeight="1" x14ac:dyDescent="0.25">
      <c r="A110" s="453"/>
      <c r="B110" s="481"/>
      <c r="C110" s="381"/>
      <c r="D110" s="381"/>
      <c r="E110" s="381"/>
      <c r="F110" s="381"/>
      <c r="G110" s="381"/>
      <c r="H110" s="381"/>
      <c r="I110" s="381"/>
      <c r="J110" s="260" t="s">
        <v>1018</v>
      </c>
      <c r="K110" s="263" t="s">
        <v>604</v>
      </c>
      <c r="L110" s="264">
        <v>1</v>
      </c>
      <c r="M110" s="327">
        <f>355*L110</f>
        <v>355</v>
      </c>
    </row>
    <row r="111" spans="1:13" s="10" customFormat="1" ht="31.8" customHeight="1" x14ac:dyDescent="0.25">
      <c r="A111" s="453"/>
      <c r="B111" s="481"/>
      <c r="C111" s="381"/>
      <c r="D111" s="381"/>
      <c r="E111" s="381"/>
      <c r="F111" s="381"/>
      <c r="G111" s="381"/>
      <c r="H111" s="381"/>
      <c r="I111" s="381"/>
      <c r="J111" s="519" t="s">
        <v>1195</v>
      </c>
      <c r="K111" s="519"/>
      <c r="L111" s="519"/>
      <c r="M111" s="313">
        <f>SUM(M97:M110)</f>
        <v>203682</v>
      </c>
    </row>
    <row r="112" spans="1:13" s="10" customFormat="1" ht="70.05" customHeight="1" thickBot="1" x14ac:dyDescent="0.3">
      <c r="A112" s="340"/>
      <c r="B112" s="335"/>
      <c r="C112" s="335"/>
      <c r="D112" s="335"/>
      <c r="E112" s="335"/>
      <c r="F112" s="335"/>
      <c r="G112" s="335"/>
      <c r="H112" s="335"/>
      <c r="I112" s="336"/>
      <c r="J112" s="402" t="s">
        <v>805</v>
      </c>
      <c r="K112" s="403"/>
      <c r="L112" s="404"/>
      <c r="M112" s="285">
        <f>SUM(M4:M17)+M111</f>
        <v>233152</v>
      </c>
    </row>
  </sheetData>
  <autoFilter ref="A3:M112" xr:uid="{00000000-0009-0000-0000-00000B000000}"/>
  <mergeCells count="117">
    <mergeCell ref="J111:L111"/>
    <mergeCell ref="B18:B111"/>
    <mergeCell ref="C97:I111"/>
    <mergeCell ref="H77:H80"/>
    <mergeCell ref="I77:I80"/>
    <mergeCell ref="C81:C86"/>
    <mergeCell ref="C87:C92"/>
    <mergeCell ref="C93:C96"/>
    <mergeCell ref="C77:C80"/>
    <mergeCell ref="D77:D80"/>
    <mergeCell ref="E77:E80"/>
    <mergeCell ref="F77:F80"/>
    <mergeCell ref="G77:G80"/>
    <mergeCell ref="C73:C76"/>
    <mergeCell ref="I73:I76"/>
    <mergeCell ref="H73:H76"/>
    <mergeCell ref="G73:G76"/>
    <mergeCell ref="F73:F76"/>
    <mergeCell ref="E73:E76"/>
    <mergeCell ref="D73:D76"/>
    <mergeCell ref="H45:H51"/>
    <mergeCell ref="I45:I51"/>
    <mergeCell ref="C39:C44"/>
    <mergeCell ref="D45:D51"/>
    <mergeCell ref="H30:H38"/>
    <mergeCell ref="I30:I38"/>
    <mergeCell ref="C30:C38"/>
    <mergeCell ref="D39:D44"/>
    <mergeCell ref="E39:E44"/>
    <mergeCell ref="F39:F44"/>
    <mergeCell ref="G39:G44"/>
    <mergeCell ref="H39:H44"/>
    <mergeCell ref="I39:I44"/>
    <mergeCell ref="J112:L112"/>
    <mergeCell ref="C5:C11"/>
    <mergeCell ref="B14:B16"/>
    <mergeCell ref="D14:D16"/>
    <mergeCell ref="E14:E16"/>
    <mergeCell ref="F14:F16"/>
    <mergeCell ref="G14:G16"/>
    <mergeCell ref="H14:H16"/>
    <mergeCell ref="I93:I96"/>
    <mergeCell ref="D93:D96"/>
    <mergeCell ref="E93:E96"/>
    <mergeCell ref="F93:F96"/>
    <mergeCell ref="G93:G96"/>
    <mergeCell ref="H93:H96"/>
    <mergeCell ref="I81:I86"/>
    <mergeCell ref="D87:D92"/>
    <mergeCell ref="E87:E92"/>
    <mergeCell ref="F87:F92"/>
    <mergeCell ref="G87:G92"/>
    <mergeCell ref="C24:C29"/>
    <mergeCell ref="D30:D38"/>
    <mergeCell ref="E30:E38"/>
    <mergeCell ref="F30:F38"/>
    <mergeCell ref="G30:G38"/>
    <mergeCell ref="H87:H92"/>
    <mergeCell ref="I87:I92"/>
    <mergeCell ref="D81:D86"/>
    <mergeCell ref="E81:E86"/>
    <mergeCell ref="F81:F86"/>
    <mergeCell ref="G81:G86"/>
    <mergeCell ref="H81:H86"/>
    <mergeCell ref="I66:I72"/>
    <mergeCell ref="D66:D72"/>
    <mergeCell ref="E66:E72"/>
    <mergeCell ref="F66:F72"/>
    <mergeCell ref="G66:G72"/>
    <mergeCell ref="E45:E51"/>
    <mergeCell ref="D52:D58"/>
    <mergeCell ref="E52:E58"/>
    <mergeCell ref="F52:F58"/>
    <mergeCell ref="G52:G58"/>
    <mergeCell ref="H52:H58"/>
    <mergeCell ref="I52:I58"/>
    <mergeCell ref="C59:C65"/>
    <mergeCell ref="C52:C58"/>
    <mergeCell ref="F45:F51"/>
    <mergeCell ref="G45:G51"/>
    <mergeCell ref="C45:C51"/>
    <mergeCell ref="E18:E23"/>
    <mergeCell ref="F18:F23"/>
    <mergeCell ref="G18:G23"/>
    <mergeCell ref="H18:H23"/>
    <mergeCell ref="I18:I23"/>
    <mergeCell ref="C18:C23"/>
    <mergeCell ref="D24:D29"/>
    <mergeCell ref="E24:E29"/>
    <mergeCell ref="F24:F29"/>
    <mergeCell ref="G24:G29"/>
    <mergeCell ref="H24:H29"/>
    <mergeCell ref="I24:I29"/>
    <mergeCell ref="A14:A16"/>
    <mergeCell ref="A18:A111"/>
    <mergeCell ref="A1:M1"/>
    <mergeCell ref="A2:G2"/>
    <mergeCell ref="H2:M2"/>
    <mergeCell ref="A5:A11"/>
    <mergeCell ref="B5:B11"/>
    <mergeCell ref="D5:D11"/>
    <mergeCell ref="E5:E11"/>
    <mergeCell ref="F5:F11"/>
    <mergeCell ref="G5:G11"/>
    <mergeCell ref="H5:H11"/>
    <mergeCell ref="I5:I11"/>
    <mergeCell ref="I14:I16"/>
    <mergeCell ref="C66:C72"/>
    <mergeCell ref="H66:H72"/>
    <mergeCell ref="D59:D65"/>
    <mergeCell ref="E59:E65"/>
    <mergeCell ref="F59:F65"/>
    <mergeCell ref="G59:G65"/>
    <mergeCell ref="H59:H65"/>
    <mergeCell ref="I59:I65"/>
    <mergeCell ref="C14:C16"/>
    <mergeCell ref="D18:D23"/>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L30"/>
  <sheetViews>
    <sheetView view="pageBreakPreview" zoomScale="55" zoomScaleNormal="40" zoomScaleSheetLayoutView="55" workbookViewId="0">
      <pane ySplit="1" topLeftCell="A20" activePane="bottomLeft" state="frozen"/>
      <selection pane="bottomLeft" activeCell="E7" sqref="E7:E8"/>
    </sheetView>
  </sheetViews>
  <sheetFormatPr defaultColWidth="14.44140625" defaultRowHeight="15.75" customHeight="1" x14ac:dyDescent="0.25"/>
  <cols>
    <col min="1" max="1" width="8.33203125" bestFit="1" customWidth="1"/>
    <col min="2" max="2" width="9.109375" customWidth="1"/>
    <col min="3" max="3" width="30" bestFit="1" customWidth="1"/>
    <col min="4" max="4" width="30.21875" style="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v>
      </c>
      <c r="B1" s="385"/>
      <c r="C1" s="385"/>
      <c r="D1" s="385"/>
      <c r="E1" s="385"/>
      <c r="F1" s="385"/>
      <c r="G1" s="385"/>
      <c r="H1" s="385"/>
      <c r="I1" s="385"/>
      <c r="J1" s="385"/>
      <c r="K1" s="385"/>
      <c r="L1" s="386"/>
    </row>
    <row r="2" spans="1:12" s="8" customFormat="1" ht="50.1" customHeight="1" thickBot="1" x14ac:dyDescent="0.35">
      <c r="A2" s="533" t="s">
        <v>12</v>
      </c>
      <c r="B2" s="534"/>
      <c r="C2" s="535"/>
      <c r="D2" s="535"/>
      <c r="E2" s="535"/>
      <c r="F2" s="535"/>
      <c r="G2" s="536" t="s">
        <v>938</v>
      </c>
      <c r="H2" s="536"/>
      <c r="I2" s="536"/>
      <c r="J2" s="537"/>
      <c r="K2" s="537"/>
      <c r="L2" s="538"/>
    </row>
    <row r="3" spans="1:12" s="10" customFormat="1" ht="50.1" customHeight="1" thickBot="1" x14ac:dyDescent="0.3">
      <c r="A3" s="159" t="s">
        <v>23</v>
      </c>
      <c r="B3" s="228" t="s">
        <v>653</v>
      </c>
      <c r="C3" s="160" t="s">
        <v>224</v>
      </c>
      <c r="D3" s="161" t="s">
        <v>22</v>
      </c>
      <c r="E3" s="162" t="s">
        <v>0</v>
      </c>
      <c r="F3" s="162" t="s">
        <v>2</v>
      </c>
      <c r="G3" s="162" t="s">
        <v>19</v>
      </c>
      <c r="H3" s="160" t="s">
        <v>1</v>
      </c>
      <c r="I3" s="160" t="s">
        <v>15</v>
      </c>
      <c r="J3" s="160" t="s">
        <v>592</v>
      </c>
      <c r="K3" s="160" t="s">
        <v>591</v>
      </c>
      <c r="L3" s="163" t="s">
        <v>804</v>
      </c>
    </row>
    <row r="4" spans="1:12" s="10" customFormat="1" ht="105.6" customHeight="1" thickBot="1" x14ac:dyDescent="0.3">
      <c r="A4" s="284">
        <v>1</v>
      </c>
      <c r="B4" s="309">
        <v>1</v>
      </c>
      <c r="C4" s="100">
        <v>45245</v>
      </c>
      <c r="D4" s="165">
        <v>2023111600007</v>
      </c>
      <c r="E4" s="250" t="s">
        <v>943</v>
      </c>
      <c r="F4" s="306" t="s">
        <v>939</v>
      </c>
      <c r="G4" s="306" t="s">
        <v>940</v>
      </c>
      <c r="H4" s="97">
        <v>45246</v>
      </c>
      <c r="I4" s="169" t="s">
        <v>620</v>
      </c>
      <c r="J4" s="96" t="s">
        <v>942</v>
      </c>
      <c r="K4" s="229">
        <v>1</v>
      </c>
      <c r="L4" s="166">
        <v>512</v>
      </c>
    </row>
    <row r="5" spans="1:12" s="10" customFormat="1" ht="63" customHeight="1" x14ac:dyDescent="0.25">
      <c r="A5" s="554">
        <v>2</v>
      </c>
      <c r="B5" s="556">
        <v>1</v>
      </c>
      <c r="C5" s="528">
        <v>45245</v>
      </c>
      <c r="D5" s="520">
        <v>2023111600008</v>
      </c>
      <c r="E5" s="522" t="s">
        <v>943</v>
      </c>
      <c r="F5" s="550" t="s">
        <v>944</v>
      </c>
      <c r="G5" s="524" t="s">
        <v>945</v>
      </c>
      <c r="H5" s="548">
        <v>45246</v>
      </c>
      <c r="I5" s="544" t="s">
        <v>620</v>
      </c>
      <c r="J5" s="546" t="s">
        <v>621</v>
      </c>
      <c r="K5" s="540">
        <v>2</v>
      </c>
      <c r="L5" s="542">
        <v>1024</v>
      </c>
    </row>
    <row r="6" spans="1:12" s="10" customFormat="1" ht="63" customHeight="1" thickBot="1" x14ac:dyDescent="0.3">
      <c r="A6" s="452"/>
      <c r="B6" s="479"/>
      <c r="C6" s="529"/>
      <c r="D6" s="521"/>
      <c r="E6" s="523"/>
      <c r="F6" s="532"/>
      <c r="G6" s="525"/>
      <c r="H6" s="549"/>
      <c r="I6" s="545"/>
      <c r="J6" s="547"/>
      <c r="K6" s="541"/>
      <c r="L6" s="543"/>
    </row>
    <row r="7" spans="1:12" s="10" customFormat="1" ht="63" customHeight="1" x14ac:dyDescent="0.25">
      <c r="A7" s="452"/>
      <c r="B7" s="479">
        <v>2</v>
      </c>
      <c r="C7" s="418">
        <v>45246</v>
      </c>
      <c r="D7" s="419">
        <v>2023111600013</v>
      </c>
      <c r="E7" s="475" t="s">
        <v>25</v>
      </c>
      <c r="F7" s="495" t="s">
        <v>946</v>
      </c>
      <c r="G7" s="495" t="s">
        <v>947</v>
      </c>
      <c r="H7" s="418">
        <v>45247</v>
      </c>
      <c r="I7" s="141" t="s">
        <v>629</v>
      </c>
      <c r="J7" s="101" t="s">
        <v>621</v>
      </c>
      <c r="K7" s="239">
        <v>1</v>
      </c>
      <c r="L7" s="142">
        <v>120</v>
      </c>
    </row>
    <row r="8" spans="1:12" s="10" customFormat="1" ht="63" customHeight="1" thickBot="1" x14ac:dyDescent="0.3">
      <c r="A8" s="452"/>
      <c r="B8" s="479"/>
      <c r="C8" s="529"/>
      <c r="D8" s="521"/>
      <c r="E8" s="539"/>
      <c r="F8" s="532"/>
      <c r="G8" s="532"/>
      <c r="H8" s="529"/>
      <c r="I8" s="289" t="s">
        <v>986</v>
      </c>
      <c r="J8" s="291" t="s">
        <v>948</v>
      </c>
      <c r="K8" s="290">
        <v>1</v>
      </c>
      <c r="L8" s="198">
        <v>142</v>
      </c>
    </row>
    <row r="9" spans="1:12" s="10" customFormat="1" ht="63" customHeight="1" x14ac:dyDescent="0.25">
      <c r="A9" s="452"/>
      <c r="B9" s="479">
        <v>3</v>
      </c>
      <c r="C9" s="418">
        <v>45246</v>
      </c>
      <c r="D9" s="419">
        <v>2023111600011</v>
      </c>
      <c r="E9" s="522" t="s">
        <v>454</v>
      </c>
      <c r="F9" s="524" t="s">
        <v>949</v>
      </c>
      <c r="G9" s="524" t="s">
        <v>950</v>
      </c>
      <c r="H9" s="418">
        <v>45247</v>
      </c>
      <c r="I9" s="141" t="s">
        <v>960</v>
      </c>
      <c r="J9" s="101" t="s">
        <v>965</v>
      </c>
      <c r="K9" s="239">
        <v>33</v>
      </c>
      <c r="L9" s="142">
        <v>1551</v>
      </c>
    </row>
    <row r="10" spans="1:12" s="10" customFormat="1" ht="63" customHeight="1" thickBot="1" x14ac:dyDescent="0.3">
      <c r="A10" s="555"/>
      <c r="B10" s="557"/>
      <c r="C10" s="529"/>
      <c r="D10" s="521"/>
      <c r="E10" s="523"/>
      <c r="F10" s="525"/>
      <c r="G10" s="525"/>
      <c r="H10" s="529"/>
      <c r="I10" s="303" t="s">
        <v>953</v>
      </c>
      <c r="J10" s="324" t="s">
        <v>987</v>
      </c>
      <c r="K10" s="305">
        <v>3</v>
      </c>
      <c r="L10" s="249">
        <v>1476</v>
      </c>
    </row>
    <row r="11" spans="1:12" s="10" customFormat="1" ht="63" customHeight="1" x14ac:dyDescent="0.25">
      <c r="A11" s="530">
        <v>3</v>
      </c>
      <c r="B11" s="526">
        <v>1</v>
      </c>
      <c r="C11" s="528">
        <v>45247</v>
      </c>
      <c r="D11" s="520">
        <v>2023111700009</v>
      </c>
      <c r="E11" s="522" t="s">
        <v>943</v>
      </c>
      <c r="F11" s="524" t="s">
        <v>954</v>
      </c>
      <c r="G11" s="524" t="s">
        <v>955</v>
      </c>
      <c r="H11" s="528">
        <v>45250</v>
      </c>
      <c r="I11" s="141" t="s">
        <v>628</v>
      </c>
      <c r="J11" s="101" t="s">
        <v>948</v>
      </c>
      <c r="K11" s="239">
        <v>1</v>
      </c>
      <c r="L11" s="142">
        <v>354</v>
      </c>
    </row>
    <row r="12" spans="1:12" s="10" customFormat="1" ht="63" customHeight="1" thickBot="1" x14ac:dyDescent="0.3">
      <c r="A12" s="531"/>
      <c r="B12" s="527"/>
      <c r="C12" s="529"/>
      <c r="D12" s="521"/>
      <c r="E12" s="523"/>
      <c r="F12" s="525"/>
      <c r="G12" s="525"/>
      <c r="H12" s="529"/>
      <c r="I12" s="303" t="s">
        <v>603</v>
      </c>
      <c r="J12" s="324" t="s">
        <v>604</v>
      </c>
      <c r="K12" s="305">
        <v>1</v>
      </c>
      <c r="L12" s="249">
        <v>299</v>
      </c>
    </row>
    <row r="13" spans="1:12" s="10" customFormat="1" ht="63" customHeight="1" x14ac:dyDescent="0.25">
      <c r="A13" s="554">
        <v>4</v>
      </c>
      <c r="B13" s="556">
        <v>1</v>
      </c>
      <c r="C13" s="528">
        <v>45246</v>
      </c>
      <c r="D13" s="520">
        <v>2023111700006</v>
      </c>
      <c r="E13" s="522" t="s">
        <v>943</v>
      </c>
      <c r="F13" s="524" t="s">
        <v>956</v>
      </c>
      <c r="G13" s="524" t="s">
        <v>957</v>
      </c>
      <c r="H13" s="528">
        <v>45247</v>
      </c>
      <c r="I13" s="544" t="s">
        <v>620</v>
      </c>
      <c r="J13" s="546" t="s">
        <v>941</v>
      </c>
      <c r="K13" s="540">
        <v>1</v>
      </c>
      <c r="L13" s="542">
        <v>512</v>
      </c>
    </row>
    <row r="14" spans="1:12" s="10" customFormat="1" ht="63" customHeight="1" thickBot="1" x14ac:dyDescent="0.3">
      <c r="A14" s="555"/>
      <c r="B14" s="557"/>
      <c r="C14" s="529"/>
      <c r="D14" s="521"/>
      <c r="E14" s="523"/>
      <c r="F14" s="525"/>
      <c r="G14" s="525"/>
      <c r="H14" s="529"/>
      <c r="I14" s="545"/>
      <c r="J14" s="547"/>
      <c r="K14" s="541"/>
      <c r="L14" s="543"/>
    </row>
    <row r="15" spans="1:12" s="10" customFormat="1" ht="49.95" customHeight="1" x14ac:dyDescent="0.25">
      <c r="A15" s="530">
        <v>5</v>
      </c>
      <c r="B15" s="526">
        <v>1</v>
      </c>
      <c r="C15" s="528">
        <v>45253</v>
      </c>
      <c r="D15" s="520">
        <v>2023112300009</v>
      </c>
      <c r="E15" s="522" t="s">
        <v>454</v>
      </c>
      <c r="F15" s="524" t="s">
        <v>958</v>
      </c>
      <c r="G15" s="524" t="s">
        <v>959</v>
      </c>
      <c r="H15" s="528">
        <v>45254</v>
      </c>
      <c r="I15" s="322" t="s">
        <v>961</v>
      </c>
      <c r="J15" s="101" t="s">
        <v>965</v>
      </c>
      <c r="K15" s="239">
        <v>107</v>
      </c>
      <c r="L15" s="108">
        <v>5029</v>
      </c>
    </row>
    <row r="16" spans="1:12" s="10" customFormat="1" ht="49.95" customHeight="1" x14ac:dyDescent="0.25">
      <c r="A16" s="453"/>
      <c r="B16" s="481"/>
      <c r="C16" s="418"/>
      <c r="D16" s="419"/>
      <c r="E16" s="490"/>
      <c r="F16" s="492"/>
      <c r="G16" s="492"/>
      <c r="H16" s="418"/>
      <c r="I16" s="83" t="s">
        <v>962</v>
      </c>
      <c r="J16" s="39" t="s">
        <v>965</v>
      </c>
      <c r="K16" s="300">
        <v>6</v>
      </c>
      <c r="L16" s="321">
        <v>306</v>
      </c>
    </row>
    <row r="17" spans="1:12" s="10" customFormat="1" ht="49.95" customHeight="1" x14ac:dyDescent="0.25">
      <c r="A17" s="453"/>
      <c r="B17" s="481"/>
      <c r="C17" s="418"/>
      <c r="D17" s="419"/>
      <c r="E17" s="490"/>
      <c r="F17" s="492"/>
      <c r="G17" s="492"/>
      <c r="H17" s="418"/>
      <c r="I17" s="83" t="s">
        <v>963</v>
      </c>
      <c r="J17" s="39" t="s">
        <v>966</v>
      </c>
      <c r="K17" s="300">
        <v>1</v>
      </c>
      <c r="L17" s="321">
        <v>9845</v>
      </c>
    </row>
    <row r="18" spans="1:12" s="10" customFormat="1" ht="49.95" customHeight="1" x14ac:dyDescent="0.25">
      <c r="A18" s="453"/>
      <c r="B18" s="481"/>
      <c r="C18" s="418"/>
      <c r="D18" s="419"/>
      <c r="E18" s="490"/>
      <c r="F18" s="492"/>
      <c r="G18" s="492"/>
      <c r="H18" s="418"/>
      <c r="I18" s="180" t="s">
        <v>964</v>
      </c>
      <c r="J18" s="299" t="s">
        <v>967</v>
      </c>
      <c r="K18" s="300">
        <v>1</v>
      </c>
      <c r="L18" s="321">
        <v>750</v>
      </c>
    </row>
    <row r="19" spans="1:12" s="10" customFormat="1" ht="49.95" customHeight="1" thickBot="1" x14ac:dyDescent="0.3">
      <c r="A19" s="531"/>
      <c r="B19" s="527"/>
      <c r="C19" s="529"/>
      <c r="D19" s="521"/>
      <c r="E19" s="523"/>
      <c r="F19" s="525"/>
      <c r="G19" s="525"/>
      <c r="H19" s="529"/>
      <c r="I19" s="303" t="s">
        <v>972</v>
      </c>
      <c r="J19" s="324" t="s">
        <v>968</v>
      </c>
      <c r="K19" s="305">
        <v>1</v>
      </c>
      <c r="L19" s="323">
        <v>299</v>
      </c>
    </row>
    <row r="20" spans="1:12" s="10" customFormat="1" ht="49.95" customHeight="1" x14ac:dyDescent="0.25">
      <c r="A20" s="554">
        <v>6</v>
      </c>
      <c r="B20" s="556">
        <v>1</v>
      </c>
      <c r="C20" s="528">
        <v>45251</v>
      </c>
      <c r="D20" s="520">
        <v>2023112700002</v>
      </c>
      <c r="E20" s="522" t="s">
        <v>969</v>
      </c>
      <c r="F20" s="524" t="s">
        <v>970</v>
      </c>
      <c r="G20" s="524" t="s">
        <v>971</v>
      </c>
      <c r="H20" s="528">
        <v>45252</v>
      </c>
      <c r="I20" s="141" t="s">
        <v>973</v>
      </c>
      <c r="J20" s="101" t="s">
        <v>976</v>
      </c>
      <c r="K20" s="239">
        <v>1</v>
      </c>
      <c r="L20" s="108">
        <v>354</v>
      </c>
    </row>
    <row r="21" spans="1:12" s="10" customFormat="1" ht="49.95" customHeight="1" x14ac:dyDescent="0.25">
      <c r="A21" s="452"/>
      <c r="B21" s="479"/>
      <c r="C21" s="418"/>
      <c r="D21" s="419"/>
      <c r="E21" s="490"/>
      <c r="F21" s="492"/>
      <c r="G21" s="492"/>
      <c r="H21" s="418"/>
      <c r="I21" s="133" t="s">
        <v>974</v>
      </c>
      <c r="J21" s="39" t="s">
        <v>977</v>
      </c>
      <c r="K21" s="21">
        <v>1</v>
      </c>
      <c r="L21" s="41">
        <v>1209</v>
      </c>
    </row>
    <row r="22" spans="1:12" s="10" customFormat="1" ht="49.95" customHeight="1" x14ac:dyDescent="0.25">
      <c r="A22" s="452"/>
      <c r="B22" s="479"/>
      <c r="C22" s="418"/>
      <c r="D22" s="419"/>
      <c r="E22" s="490"/>
      <c r="F22" s="492"/>
      <c r="G22" s="492"/>
      <c r="H22" s="418"/>
      <c r="I22" s="133" t="s">
        <v>975</v>
      </c>
      <c r="J22" s="39" t="s">
        <v>978</v>
      </c>
      <c r="K22" s="21">
        <v>2</v>
      </c>
      <c r="L22" s="41">
        <v>240</v>
      </c>
    </row>
    <row r="23" spans="1:12" s="10" customFormat="1" ht="49.95" customHeight="1" thickBot="1" x14ac:dyDescent="0.3">
      <c r="A23" s="555"/>
      <c r="B23" s="557"/>
      <c r="C23" s="529"/>
      <c r="D23" s="521"/>
      <c r="E23" s="523"/>
      <c r="F23" s="525"/>
      <c r="G23" s="525"/>
      <c r="H23" s="529"/>
      <c r="I23" s="303" t="s">
        <v>985</v>
      </c>
      <c r="J23" s="324" t="s">
        <v>621</v>
      </c>
      <c r="K23" s="305">
        <v>1</v>
      </c>
      <c r="L23" s="323">
        <v>197</v>
      </c>
    </row>
    <row r="24" spans="1:12" s="10" customFormat="1" ht="49.95" customHeight="1" x14ac:dyDescent="0.25">
      <c r="A24" s="530">
        <v>7</v>
      </c>
      <c r="B24" s="526">
        <v>1</v>
      </c>
      <c r="C24" s="528">
        <v>45243</v>
      </c>
      <c r="D24" s="520">
        <v>2023112800002</v>
      </c>
      <c r="E24" s="522" t="s">
        <v>988</v>
      </c>
      <c r="F24" s="524" t="s">
        <v>979</v>
      </c>
      <c r="G24" s="524" t="s">
        <v>980</v>
      </c>
      <c r="H24" s="528">
        <v>45244</v>
      </c>
      <c r="I24" s="141" t="s">
        <v>981</v>
      </c>
      <c r="J24" s="101" t="s">
        <v>982</v>
      </c>
      <c r="K24" s="239">
        <v>1</v>
      </c>
      <c r="L24" s="108">
        <v>9845</v>
      </c>
    </row>
    <row r="25" spans="1:12" s="10" customFormat="1" ht="49.95" customHeight="1" thickBot="1" x14ac:dyDescent="0.3">
      <c r="A25" s="531"/>
      <c r="B25" s="527"/>
      <c r="C25" s="529"/>
      <c r="D25" s="521"/>
      <c r="E25" s="523"/>
      <c r="F25" s="525"/>
      <c r="G25" s="525"/>
      <c r="H25" s="529"/>
      <c r="I25" s="303" t="s">
        <v>983</v>
      </c>
      <c r="J25" s="324" t="s">
        <v>984</v>
      </c>
      <c r="K25" s="305">
        <v>1</v>
      </c>
      <c r="L25" s="323">
        <v>750</v>
      </c>
    </row>
    <row r="26" spans="1:12" s="10" customFormat="1" ht="49.95" customHeight="1" x14ac:dyDescent="0.25">
      <c r="A26" s="554">
        <v>8</v>
      </c>
      <c r="B26" s="556">
        <v>1</v>
      </c>
      <c r="C26" s="528">
        <v>45257</v>
      </c>
      <c r="D26" s="520">
        <v>2023113000001</v>
      </c>
      <c r="E26" s="522" t="s">
        <v>538</v>
      </c>
      <c r="F26" s="524" t="s">
        <v>992</v>
      </c>
      <c r="G26" s="524" t="s">
        <v>993</v>
      </c>
      <c r="H26" s="528">
        <v>45258</v>
      </c>
      <c r="I26" s="141" t="s">
        <v>598</v>
      </c>
      <c r="J26" s="101" t="s">
        <v>595</v>
      </c>
      <c r="K26" s="239">
        <v>1</v>
      </c>
      <c r="L26" s="108">
        <v>9845</v>
      </c>
    </row>
    <row r="27" spans="1:12" s="10" customFormat="1" ht="49.95" customHeight="1" thickBot="1" x14ac:dyDescent="0.3">
      <c r="A27" s="452"/>
      <c r="B27" s="479"/>
      <c r="C27" s="529"/>
      <c r="D27" s="521"/>
      <c r="E27" s="523"/>
      <c r="F27" s="525"/>
      <c r="G27" s="525"/>
      <c r="H27" s="529"/>
      <c r="I27" s="303" t="s">
        <v>599</v>
      </c>
      <c r="J27" s="324" t="s">
        <v>597</v>
      </c>
      <c r="K27" s="305">
        <v>1</v>
      </c>
      <c r="L27" s="323">
        <v>750</v>
      </c>
    </row>
    <row r="28" spans="1:12" s="10" customFormat="1" ht="49.95" customHeight="1" x14ac:dyDescent="0.25">
      <c r="A28" s="452"/>
      <c r="B28" s="479">
        <v>2</v>
      </c>
      <c r="C28" s="528">
        <v>45257</v>
      </c>
      <c r="D28" s="520">
        <v>2023113000002</v>
      </c>
      <c r="E28" s="522" t="s">
        <v>989</v>
      </c>
      <c r="F28" s="524" t="s">
        <v>990</v>
      </c>
      <c r="G28" s="550" t="s">
        <v>991</v>
      </c>
      <c r="H28" s="528">
        <v>45258</v>
      </c>
      <c r="I28" s="141" t="s">
        <v>981</v>
      </c>
      <c r="J28" s="101" t="s">
        <v>982</v>
      </c>
      <c r="K28" s="239">
        <v>1</v>
      </c>
      <c r="L28" s="108">
        <v>9845</v>
      </c>
    </row>
    <row r="29" spans="1:12" s="10" customFormat="1" ht="49.95" customHeight="1" thickBot="1" x14ac:dyDescent="0.3">
      <c r="A29" s="555"/>
      <c r="B29" s="557"/>
      <c r="C29" s="529"/>
      <c r="D29" s="521"/>
      <c r="E29" s="523"/>
      <c r="F29" s="525"/>
      <c r="G29" s="532"/>
      <c r="H29" s="529"/>
      <c r="I29" s="303" t="s">
        <v>983</v>
      </c>
      <c r="J29" s="324" t="s">
        <v>984</v>
      </c>
      <c r="K29" s="305">
        <v>1</v>
      </c>
      <c r="L29" s="323">
        <v>750</v>
      </c>
    </row>
    <row r="30" spans="1:12" s="10" customFormat="1" ht="70.05" customHeight="1" thickBot="1" x14ac:dyDescent="0.3">
      <c r="A30" s="551"/>
      <c r="B30" s="552"/>
      <c r="C30" s="552"/>
      <c r="D30" s="552"/>
      <c r="E30" s="552"/>
      <c r="F30" s="552"/>
      <c r="G30" s="552"/>
      <c r="H30" s="553"/>
      <c r="I30" s="402" t="s">
        <v>805</v>
      </c>
      <c r="J30" s="403"/>
      <c r="K30" s="404"/>
      <c r="L30" s="285">
        <f>SUM(L4:L29)</f>
        <v>56004</v>
      </c>
    </row>
  </sheetData>
  <autoFilter ref="A3:L30" xr:uid="{00000000-0009-0000-0000-00000C000000}"/>
  <mergeCells count="90">
    <mergeCell ref="G26:G27"/>
    <mergeCell ref="H26:H27"/>
    <mergeCell ref="A26:A29"/>
    <mergeCell ref="B26:B27"/>
    <mergeCell ref="B28:B29"/>
    <mergeCell ref="C26:C27"/>
    <mergeCell ref="D26:D27"/>
    <mergeCell ref="G28:G29"/>
    <mergeCell ref="H28:H29"/>
    <mergeCell ref="A5:A10"/>
    <mergeCell ref="B5:B6"/>
    <mergeCell ref="B7:B8"/>
    <mergeCell ref="B9:B10"/>
    <mergeCell ref="B11:B12"/>
    <mergeCell ref="A20:A23"/>
    <mergeCell ref="C20:C23"/>
    <mergeCell ref="D20:D23"/>
    <mergeCell ref="E20:E23"/>
    <mergeCell ref="F20:F23"/>
    <mergeCell ref="B20:B23"/>
    <mergeCell ref="H9:H10"/>
    <mergeCell ref="F13:F14"/>
    <mergeCell ref="G13:G14"/>
    <mergeCell ref="B13:B14"/>
    <mergeCell ref="G20:G23"/>
    <mergeCell ref="H20:H23"/>
    <mergeCell ref="K13:K14"/>
    <mergeCell ref="L13:L14"/>
    <mergeCell ref="H11:H12"/>
    <mergeCell ref="H13:H14"/>
    <mergeCell ref="I13:I14"/>
    <mergeCell ref="J13:J14"/>
    <mergeCell ref="A30:H30"/>
    <mergeCell ref="I30:K30"/>
    <mergeCell ref="A13:A14"/>
    <mergeCell ref="G11:G12"/>
    <mergeCell ref="A11:A12"/>
    <mergeCell ref="C11:C12"/>
    <mergeCell ref="D11:D12"/>
    <mergeCell ref="E11:E12"/>
    <mergeCell ref="F11:F12"/>
    <mergeCell ref="C13:C14"/>
    <mergeCell ref="D13:D14"/>
    <mergeCell ref="E13:E14"/>
    <mergeCell ref="G24:G25"/>
    <mergeCell ref="H24:H25"/>
    <mergeCell ref="A24:A25"/>
    <mergeCell ref="C24:C25"/>
    <mergeCell ref="A1:L1"/>
    <mergeCell ref="A2:F2"/>
    <mergeCell ref="G2:L2"/>
    <mergeCell ref="C7:C8"/>
    <mergeCell ref="D7:D8"/>
    <mergeCell ref="E7:E8"/>
    <mergeCell ref="F7:F8"/>
    <mergeCell ref="D5:D6"/>
    <mergeCell ref="E5:E6"/>
    <mergeCell ref="K5:K6"/>
    <mergeCell ref="L5:L6"/>
    <mergeCell ref="I5:I6"/>
    <mergeCell ref="J5:J6"/>
    <mergeCell ref="H5:H6"/>
    <mergeCell ref="G5:G6"/>
    <mergeCell ref="F5:F6"/>
    <mergeCell ref="C5:C6"/>
    <mergeCell ref="A15:A19"/>
    <mergeCell ref="H15:H19"/>
    <mergeCell ref="G15:G19"/>
    <mergeCell ref="F15:F19"/>
    <mergeCell ref="E15:E19"/>
    <mergeCell ref="D15:D19"/>
    <mergeCell ref="C15:C19"/>
    <mergeCell ref="B15:B19"/>
    <mergeCell ref="C9:C10"/>
    <mergeCell ref="D9:D10"/>
    <mergeCell ref="E9:E10"/>
    <mergeCell ref="G7:G8"/>
    <mergeCell ref="H7:H8"/>
    <mergeCell ref="F9:F10"/>
    <mergeCell ref="G9:G10"/>
    <mergeCell ref="D24:D25"/>
    <mergeCell ref="E24:E25"/>
    <mergeCell ref="F24:F25"/>
    <mergeCell ref="B24:B25"/>
    <mergeCell ref="C28:C29"/>
    <mergeCell ref="D28:D29"/>
    <mergeCell ref="E28:E29"/>
    <mergeCell ref="F28:F29"/>
    <mergeCell ref="E26:E27"/>
    <mergeCell ref="F26:F27"/>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L11"/>
  <sheetViews>
    <sheetView view="pageBreakPreview" zoomScale="55" zoomScaleNormal="40" zoomScaleSheetLayoutView="55" workbookViewId="0">
      <pane ySplit="1" topLeftCell="A2" activePane="bottomLeft" state="frozen"/>
      <selection pane="bottomLeft" activeCell="D20" sqref="D20"/>
    </sheetView>
  </sheetViews>
  <sheetFormatPr defaultColWidth="14.44140625" defaultRowHeight="15.75" customHeight="1" x14ac:dyDescent="0.25"/>
  <cols>
    <col min="1" max="1" width="8.33203125" bestFit="1" customWidth="1"/>
    <col min="2" max="2" width="8.33203125" hidden="1" customWidth="1"/>
    <col min="3" max="3" width="30" bestFit="1" customWidth="1"/>
    <col min="4" max="4" width="30.21875" style="1" bestFit="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v>
      </c>
      <c r="B1" s="385"/>
      <c r="C1" s="385"/>
      <c r="D1" s="385"/>
      <c r="E1" s="385"/>
      <c r="F1" s="385"/>
      <c r="G1" s="385"/>
      <c r="H1" s="385"/>
      <c r="I1" s="385"/>
      <c r="J1" s="385"/>
      <c r="K1" s="385"/>
      <c r="L1" s="386"/>
    </row>
    <row r="2" spans="1:12" s="8" customFormat="1" ht="50.1" customHeight="1" thickBot="1" x14ac:dyDescent="0.35">
      <c r="A2" s="533" t="s">
        <v>12</v>
      </c>
      <c r="B2" s="534"/>
      <c r="C2" s="535"/>
      <c r="D2" s="535"/>
      <c r="E2" s="535"/>
      <c r="F2" s="535"/>
      <c r="G2" s="536" t="s">
        <v>927</v>
      </c>
      <c r="H2" s="536"/>
      <c r="I2" s="536"/>
      <c r="J2" s="537"/>
      <c r="K2" s="537"/>
      <c r="L2" s="538"/>
    </row>
    <row r="3" spans="1:12" s="10" customFormat="1" ht="50.1" customHeight="1" thickBot="1" x14ac:dyDescent="0.3">
      <c r="A3" s="315" t="s">
        <v>23</v>
      </c>
      <c r="B3" s="316" t="s">
        <v>653</v>
      </c>
      <c r="C3" s="317" t="s">
        <v>224</v>
      </c>
      <c r="D3" s="318" t="s">
        <v>22</v>
      </c>
      <c r="E3" s="319" t="s">
        <v>0</v>
      </c>
      <c r="F3" s="319" t="s">
        <v>2</v>
      </c>
      <c r="G3" s="319" t="s">
        <v>19</v>
      </c>
      <c r="H3" s="317" t="s">
        <v>1</v>
      </c>
      <c r="I3" s="317" t="s">
        <v>15</v>
      </c>
      <c r="J3" s="317" t="s">
        <v>592</v>
      </c>
      <c r="K3" s="317" t="s">
        <v>591</v>
      </c>
      <c r="L3" s="320" t="s">
        <v>804</v>
      </c>
    </row>
    <row r="4" spans="1:12" s="10" customFormat="1" ht="49.95" customHeight="1" x14ac:dyDescent="0.25">
      <c r="A4" s="437">
        <v>1</v>
      </c>
      <c r="B4" s="488"/>
      <c r="C4" s="413">
        <v>45204</v>
      </c>
      <c r="D4" s="419">
        <v>2023100600001</v>
      </c>
      <c r="E4" s="490" t="s">
        <v>454</v>
      </c>
      <c r="F4" s="492" t="s">
        <v>928</v>
      </c>
      <c r="G4" s="495" t="s">
        <v>929</v>
      </c>
      <c r="H4" s="560">
        <v>45205</v>
      </c>
      <c r="I4" s="141" t="s">
        <v>648</v>
      </c>
      <c r="J4" s="299" t="s">
        <v>935</v>
      </c>
      <c r="K4" s="300">
        <v>1</v>
      </c>
      <c r="L4" s="204">
        <v>750</v>
      </c>
    </row>
    <row r="5" spans="1:12" s="10" customFormat="1" ht="49.95" customHeight="1" x14ac:dyDescent="0.25">
      <c r="A5" s="437"/>
      <c r="B5" s="488"/>
      <c r="C5" s="418"/>
      <c r="D5" s="419"/>
      <c r="E5" s="490"/>
      <c r="F5" s="492"/>
      <c r="G5" s="495"/>
      <c r="H5" s="560"/>
      <c r="I5" s="180" t="s">
        <v>602</v>
      </c>
      <c r="J5" s="291" t="s">
        <v>934</v>
      </c>
      <c r="K5" s="300">
        <v>1</v>
      </c>
      <c r="L5" s="204">
        <v>940</v>
      </c>
    </row>
    <row r="6" spans="1:12" s="10" customFormat="1" ht="49.95" customHeight="1" thickBot="1" x14ac:dyDescent="0.3">
      <c r="A6" s="558"/>
      <c r="B6" s="559"/>
      <c r="C6" s="435"/>
      <c r="D6" s="521"/>
      <c r="E6" s="523"/>
      <c r="F6" s="525"/>
      <c r="G6" s="532"/>
      <c r="H6" s="561"/>
      <c r="I6" s="180" t="s">
        <v>601</v>
      </c>
      <c r="J6" s="44" t="s">
        <v>600</v>
      </c>
      <c r="K6" s="243">
        <v>1</v>
      </c>
      <c r="L6" s="144">
        <v>3000</v>
      </c>
    </row>
    <row r="7" spans="1:12" s="10" customFormat="1" ht="49.95" customHeight="1" thickBot="1" x14ac:dyDescent="0.3">
      <c r="A7" s="570">
        <v>2</v>
      </c>
      <c r="B7" s="253"/>
      <c r="C7" s="528">
        <v>45208</v>
      </c>
      <c r="D7" s="520">
        <v>2023101100001</v>
      </c>
      <c r="E7" s="569" t="s">
        <v>454</v>
      </c>
      <c r="F7" s="524" t="s">
        <v>932</v>
      </c>
      <c r="G7" s="550" t="s">
        <v>930</v>
      </c>
      <c r="H7" s="528">
        <v>45209</v>
      </c>
      <c r="I7" s="141" t="s">
        <v>646</v>
      </c>
      <c r="J7" s="101" t="s">
        <v>595</v>
      </c>
      <c r="K7" s="239">
        <v>1</v>
      </c>
      <c r="L7" s="142">
        <v>9845</v>
      </c>
    </row>
    <row r="8" spans="1:12" s="10" customFormat="1" ht="49.95" customHeight="1" thickBot="1" x14ac:dyDescent="0.3">
      <c r="A8" s="571"/>
      <c r="B8" s="253"/>
      <c r="C8" s="529"/>
      <c r="D8" s="521"/>
      <c r="E8" s="539"/>
      <c r="F8" s="525"/>
      <c r="G8" s="532"/>
      <c r="H8" s="529"/>
      <c r="I8" s="143" t="s">
        <v>936</v>
      </c>
      <c r="J8" s="44" t="s">
        <v>937</v>
      </c>
      <c r="K8" s="243">
        <v>1</v>
      </c>
      <c r="L8" s="144">
        <v>750</v>
      </c>
    </row>
    <row r="9" spans="1:12" s="10" customFormat="1" ht="49.95" customHeight="1" thickBot="1" x14ac:dyDescent="0.3">
      <c r="A9" s="568">
        <v>3</v>
      </c>
      <c r="B9" s="309"/>
      <c r="C9" s="528">
        <v>45211</v>
      </c>
      <c r="D9" s="520">
        <v>2023101900008</v>
      </c>
      <c r="E9" s="569" t="s">
        <v>454</v>
      </c>
      <c r="F9" s="524" t="s">
        <v>933</v>
      </c>
      <c r="G9" s="550" t="s">
        <v>931</v>
      </c>
      <c r="H9" s="528">
        <v>45212</v>
      </c>
      <c r="I9" s="141" t="s">
        <v>646</v>
      </c>
      <c r="J9" s="101" t="s">
        <v>595</v>
      </c>
      <c r="K9" s="239">
        <v>1</v>
      </c>
      <c r="L9" s="142">
        <v>9845</v>
      </c>
    </row>
    <row r="10" spans="1:12" s="10" customFormat="1" ht="49.95" customHeight="1" thickBot="1" x14ac:dyDescent="0.3">
      <c r="A10" s="558"/>
      <c r="B10" s="309"/>
      <c r="C10" s="413"/>
      <c r="D10" s="415"/>
      <c r="E10" s="464"/>
      <c r="F10" s="493"/>
      <c r="G10" s="496"/>
      <c r="H10" s="413"/>
      <c r="I10" s="143" t="s">
        <v>936</v>
      </c>
      <c r="J10" s="44" t="s">
        <v>937</v>
      </c>
      <c r="K10" s="243">
        <v>1</v>
      </c>
      <c r="L10" s="144">
        <v>750</v>
      </c>
    </row>
    <row r="11" spans="1:12" s="10" customFormat="1" ht="70.05" customHeight="1" thickBot="1" x14ac:dyDescent="0.3">
      <c r="A11" s="562"/>
      <c r="B11" s="563"/>
      <c r="C11" s="563"/>
      <c r="D11" s="563"/>
      <c r="E11" s="563"/>
      <c r="F11" s="563"/>
      <c r="G11" s="563"/>
      <c r="H11" s="564"/>
      <c r="I11" s="565" t="s">
        <v>805</v>
      </c>
      <c r="J11" s="566"/>
      <c r="K11" s="567"/>
      <c r="L11" s="286">
        <f>SUM(L4:L10)</f>
        <v>25880</v>
      </c>
    </row>
  </sheetData>
  <autoFilter ref="A3:L11" xr:uid="{00000000-0009-0000-0000-00000D000000}"/>
  <mergeCells count="27">
    <mergeCell ref="G7:G8"/>
    <mergeCell ref="H7:H8"/>
    <mergeCell ref="A11:H11"/>
    <mergeCell ref="I11:K11"/>
    <mergeCell ref="A9:A10"/>
    <mergeCell ref="C9:C10"/>
    <mergeCell ref="D9:D10"/>
    <mergeCell ref="E9:E10"/>
    <mergeCell ref="F9:F10"/>
    <mergeCell ref="G9:G10"/>
    <mergeCell ref="H9:H10"/>
    <mergeCell ref="A7:A8"/>
    <mergeCell ref="C7:C8"/>
    <mergeCell ref="D7:D8"/>
    <mergeCell ref="E7:E8"/>
    <mergeCell ref="F7:F8"/>
    <mergeCell ref="A1:L1"/>
    <mergeCell ref="A2:F2"/>
    <mergeCell ref="G2:L2"/>
    <mergeCell ref="A4:A6"/>
    <mergeCell ref="B4:B6"/>
    <mergeCell ref="C4:C6"/>
    <mergeCell ref="D4:D6"/>
    <mergeCell ref="E4:E6"/>
    <mergeCell ref="F4:F6"/>
    <mergeCell ref="G4:G6"/>
    <mergeCell ref="H4:H6"/>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L25"/>
  <sheetViews>
    <sheetView view="pageBreakPreview" zoomScale="55" zoomScaleNormal="40" zoomScaleSheetLayoutView="55" workbookViewId="0">
      <pane ySplit="1" topLeftCell="A2" activePane="bottomLeft" state="frozen"/>
      <selection pane="bottomLeft" activeCell="D6" sqref="D6:D7"/>
    </sheetView>
  </sheetViews>
  <sheetFormatPr defaultColWidth="14.44140625" defaultRowHeight="15.75" customHeight="1" x14ac:dyDescent="0.25"/>
  <cols>
    <col min="1" max="1" width="8.33203125" bestFit="1" customWidth="1"/>
    <col min="2" max="2" width="8.33203125" hidden="1" customWidth="1"/>
    <col min="3" max="3" width="30" bestFit="1" customWidth="1"/>
    <col min="4" max="4" width="30.21875" style="1" bestFit="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v>
      </c>
      <c r="B1" s="385"/>
      <c r="C1" s="385"/>
      <c r="D1" s="385"/>
      <c r="E1" s="385"/>
      <c r="F1" s="385"/>
      <c r="G1" s="385"/>
      <c r="H1" s="385"/>
      <c r="I1" s="385"/>
      <c r="J1" s="385"/>
      <c r="K1" s="385"/>
      <c r="L1" s="386"/>
    </row>
    <row r="2" spans="1:12" s="8" customFormat="1" ht="50.1" customHeight="1" thickBot="1" x14ac:dyDescent="0.35">
      <c r="A2" s="533" t="s">
        <v>12</v>
      </c>
      <c r="B2" s="534"/>
      <c r="C2" s="535"/>
      <c r="D2" s="535"/>
      <c r="E2" s="535"/>
      <c r="F2" s="535"/>
      <c r="G2" s="536" t="s">
        <v>915</v>
      </c>
      <c r="H2" s="536"/>
      <c r="I2" s="536"/>
      <c r="J2" s="537"/>
      <c r="K2" s="537"/>
      <c r="L2" s="538"/>
    </row>
    <row r="3" spans="1:12" s="10" customFormat="1" ht="50.1" customHeight="1" thickBot="1" x14ac:dyDescent="0.3">
      <c r="A3" s="315" t="s">
        <v>23</v>
      </c>
      <c r="B3" s="316" t="s">
        <v>653</v>
      </c>
      <c r="C3" s="317" t="s">
        <v>224</v>
      </c>
      <c r="D3" s="318" t="s">
        <v>22</v>
      </c>
      <c r="E3" s="319" t="s">
        <v>0</v>
      </c>
      <c r="F3" s="319" t="s">
        <v>2</v>
      </c>
      <c r="G3" s="319" t="s">
        <v>19</v>
      </c>
      <c r="H3" s="317" t="s">
        <v>1</v>
      </c>
      <c r="I3" s="317" t="s">
        <v>15</v>
      </c>
      <c r="J3" s="317" t="s">
        <v>592</v>
      </c>
      <c r="K3" s="317" t="s">
        <v>591</v>
      </c>
      <c r="L3" s="320" t="s">
        <v>804</v>
      </c>
    </row>
    <row r="4" spans="1:12" s="10" customFormat="1" ht="49.95" customHeight="1" x14ac:dyDescent="0.25">
      <c r="A4" s="437">
        <v>1</v>
      </c>
      <c r="B4" s="488"/>
      <c r="C4" s="413">
        <v>45176</v>
      </c>
      <c r="D4" s="419">
        <v>2023092100001</v>
      </c>
      <c r="E4" s="490" t="s">
        <v>107</v>
      </c>
      <c r="F4" s="492" t="s">
        <v>916</v>
      </c>
      <c r="G4" s="492" t="s">
        <v>917</v>
      </c>
      <c r="H4" s="560">
        <v>45177</v>
      </c>
      <c r="I4" s="141" t="s">
        <v>920</v>
      </c>
      <c r="J4" s="299" t="s">
        <v>918</v>
      </c>
      <c r="K4" s="300">
        <v>1</v>
      </c>
      <c r="L4" s="204">
        <v>354</v>
      </c>
    </row>
    <row r="5" spans="1:12" s="10" customFormat="1" ht="49.95" customHeight="1" thickBot="1" x14ac:dyDescent="0.3">
      <c r="A5" s="558"/>
      <c r="B5" s="559"/>
      <c r="C5" s="435"/>
      <c r="D5" s="521"/>
      <c r="E5" s="523"/>
      <c r="F5" s="525"/>
      <c r="G5" s="525"/>
      <c r="H5" s="561"/>
      <c r="I5" s="180" t="s">
        <v>926</v>
      </c>
      <c r="J5" s="44" t="s">
        <v>919</v>
      </c>
      <c r="K5" s="243">
        <v>1</v>
      </c>
      <c r="L5" s="144">
        <v>1209</v>
      </c>
    </row>
    <row r="6" spans="1:12" s="10" customFormat="1" ht="49.95" customHeight="1" thickBot="1" x14ac:dyDescent="0.3">
      <c r="A6" s="570">
        <v>2</v>
      </c>
      <c r="B6" s="253"/>
      <c r="C6" s="528">
        <v>45170</v>
      </c>
      <c r="D6" s="520">
        <v>2023090400002</v>
      </c>
      <c r="E6" s="569" t="s">
        <v>454</v>
      </c>
      <c r="F6" s="524" t="s">
        <v>921</v>
      </c>
      <c r="G6" s="524" t="s">
        <v>922</v>
      </c>
      <c r="H6" s="528">
        <v>45171</v>
      </c>
      <c r="I6" s="141" t="s">
        <v>598</v>
      </c>
      <c r="J6" s="101" t="s">
        <v>595</v>
      </c>
      <c r="K6" s="239">
        <v>1</v>
      </c>
      <c r="L6" s="142">
        <v>9845</v>
      </c>
    </row>
    <row r="7" spans="1:12" s="10" customFormat="1" ht="49.95" customHeight="1" thickBot="1" x14ac:dyDescent="0.3">
      <c r="A7" s="571"/>
      <c r="B7" s="253"/>
      <c r="C7" s="529"/>
      <c r="D7" s="521"/>
      <c r="E7" s="539"/>
      <c r="F7" s="525"/>
      <c r="G7" s="525"/>
      <c r="H7" s="529"/>
      <c r="I7" s="143" t="s">
        <v>599</v>
      </c>
      <c r="J7" s="44" t="s">
        <v>597</v>
      </c>
      <c r="K7" s="243">
        <v>1</v>
      </c>
      <c r="L7" s="144">
        <v>750</v>
      </c>
    </row>
    <row r="8" spans="1:12" s="10" customFormat="1" ht="100.05" customHeight="1" thickBot="1" x14ac:dyDescent="0.3">
      <c r="A8" s="284">
        <v>3</v>
      </c>
      <c r="B8" s="309"/>
      <c r="C8" s="314">
        <v>45191</v>
      </c>
      <c r="D8" s="151">
        <v>2023092100002</v>
      </c>
      <c r="E8" s="150" t="s">
        <v>454</v>
      </c>
      <c r="F8" s="167" t="s">
        <v>923</v>
      </c>
      <c r="G8" s="81" t="s">
        <v>924</v>
      </c>
      <c r="H8" s="314">
        <v>45192</v>
      </c>
      <c r="I8" s="141" t="s">
        <v>925</v>
      </c>
      <c r="J8" s="101" t="s">
        <v>918</v>
      </c>
      <c r="K8" s="239">
        <v>1</v>
      </c>
      <c r="L8" s="166">
        <v>4331</v>
      </c>
    </row>
    <row r="9" spans="1:12" s="10" customFormat="1" ht="100.05" hidden="1" customHeight="1" thickBot="1" x14ac:dyDescent="0.3">
      <c r="A9" s="294"/>
      <c r="B9" s="308"/>
      <c r="C9" s="296"/>
      <c r="D9" s="297"/>
      <c r="E9" s="301"/>
      <c r="F9" s="302"/>
      <c r="G9" s="298"/>
      <c r="H9" s="296"/>
      <c r="I9" s="303"/>
      <c r="J9" s="304"/>
      <c r="K9" s="305"/>
      <c r="L9" s="249"/>
    </row>
    <row r="10" spans="1:12" s="10" customFormat="1" ht="49.95" hidden="1" customHeight="1" x14ac:dyDescent="0.25">
      <c r="A10" s="530"/>
      <c r="B10" s="574"/>
      <c r="C10" s="434"/>
      <c r="D10" s="520"/>
      <c r="E10" s="569"/>
      <c r="F10" s="524"/>
      <c r="G10" s="524"/>
      <c r="H10" s="434"/>
      <c r="I10" s="141"/>
      <c r="J10" s="101"/>
      <c r="K10" s="239"/>
      <c r="L10" s="142"/>
    </row>
    <row r="11" spans="1:12" s="10" customFormat="1" ht="49.95" hidden="1" customHeight="1" thickBot="1" x14ac:dyDescent="0.3">
      <c r="A11" s="531"/>
      <c r="B11" s="559"/>
      <c r="C11" s="435"/>
      <c r="D11" s="521"/>
      <c r="E11" s="539"/>
      <c r="F11" s="525"/>
      <c r="G11" s="525"/>
      <c r="H11" s="435"/>
      <c r="I11" s="143"/>
      <c r="J11" s="44"/>
      <c r="K11" s="243"/>
      <c r="L11" s="144"/>
    </row>
    <row r="12" spans="1:12" s="10" customFormat="1" ht="100.05" hidden="1" customHeight="1" thickBot="1" x14ac:dyDescent="0.3">
      <c r="A12" s="294"/>
      <c r="B12" s="253"/>
      <c r="C12" s="113"/>
      <c r="D12" s="151"/>
      <c r="E12" s="250"/>
      <c r="F12" s="167"/>
      <c r="G12" s="81"/>
      <c r="H12" s="113"/>
      <c r="I12" s="143"/>
      <c r="J12" s="164"/>
      <c r="K12" s="243"/>
      <c r="L12" s="166"/>
    </row>
    <row r="13" spans="1:12" s="10" customFormat="1" ht="49.95" hidden="1" customHeight="1" x14ac:dyDescent="0.25">
      <c r="A13" s="530"/>
      <c r="B13" s="574"/>
      <c r="C13" s="434"/>
      <c r="D13" s="520"/>
      <c r="E13" s="569"/>
      <c r="F13" s="524"/>
      <c r="G13" s="524"/>
      <c r="H13" s="434"/>
      <c r="I13" s="141"/>
      <c r="J13" s="101"/>
      <c r="K13" s="239"/>
      <c r="L13" s="142"/>
    </row>
    <row r="14" spans="1:12" s="10" customFormat="1" ht="49.95" hidden="1" customHeight="1" thickBot="1" x14ac:dyDescent="0.3">
      <c r="A14" s="531"/>
      <c r="B14" s="559"/>
      <c r="C14" s="435"/>
      <c r="D14" s="521"/>
      <c r="E14" s="539"/>
      <c r="F14" s="525"/>
      <c r="G14" s="525"/>
      <c r="H14" s="435"/>
      <c r="I14" s="143"/>
      <c r="J14" s="44"/>
      <c r="K14" s="243"/>
      <c r="L14" s="144"/>
    </row>
    <row r="15" spans="1:12" s="10" customFormat="1" ht="100.05" hidden="1" customHeight="1" thickBot="1" x14ac:dyDescent="0.3">
      <c r="A15" s="294"/>
      <c r="B15" s="253"/>
      <c r="C15" s="90"/>
      <c r="D15" s="152"/>
      <c r="E15" s="250"/>
      <c r="F15" s="292"/>
      <c r="G15" s="89"/>
      <c r="H15" s="90"/>
      <c r="I15" s="143"/>
      <c r="J15" s="164"/>
      <c r="K15" s="243"/>
      <c r="L15" s="166"/>
    </row>
    <row r="16" spans="1:12" s="10" customFormat="1" ht="49.95" hidden="1" customHeight="1" thickBot="1" x14ac:dyDescent="0.3">
      <c r="A16" s="530"/>
      <c r="B16" s="574"/>
      <c r="C16" s="434"/>
      <c r="D16" s="520"/>
      <c r="E16" s="569"/>
      <c r="F16" s="524"/>
      <c r="G16" s="524"/>
      <c r="H16" s="434"/>
      <c r="I16" s="141"/>
      <c r="J16" s="101"/>
      <c r="K16" s="239"/>
      <c r="L16" s="142"/>
    </row>
    <row r="17" spans="1:12" s="10" customFormat="1" ht="49.95" hidden="1" customHeight="1" x14ac:dyDescent="0.25">
      <c r="A17" s="437"/>
      <c r="B17" s="488"/>
      <c r="C17" s="418"/>
      <c r="D17" s="419"/>
      <c r="E17" s="475"/>
      <c r="F17" s="492"/>
      <c r="G17" s="492"/>
      <c r="H17" s="418"/>
      <c r="I17" s="289"/>
      <c r="J17" s="291"/>
      <c r="K17" s="290"/>
      <c r="L17" s="142"/>
    </row>
    <row r="18" spans="1:12" s="10" customFormat="1" ht="49.95" hidden="1" customHeight="1" thickBot="1" x14ac:dyDescent="0.3">
      <c r="A18" s="531"/>
      <c r="B18" s="559"/>
      <c r="C18" s="435"/>
      <c r="D18" s="521"/>
      <c r="E18" s="539"/>
      <c r="F18" s="525"/>
      <c r="G18" s="525"/>
      <c r="H18" s="435"/>
      <c r="I18" s="143"/>
      <c r="J18" s="44"/>
      <c r="K18" s="243"/>
      <c r="L18" s="144"/>
    </row>
    <row r="19" spans="1:12" s="10" customFormat="1" ht="49.95" hidden="1" customHeight="1" x14ac:dyDescent="0.25">
      <c r="A19" s="554"/>
      <c r="B19" s="572"/>
      <c r="C19" s="434"/>
      <c r="D19" s="520"/>
      <c r="E19" s="569"/>
      <c r="F19" s="524"/>
      <c r="G19" s="524"/>
      <c r="H19" s="434"/>
      <c r="I19" s="141"/>
      <c r="J19" s="101"/>
      <c r="K19" s="239"/>
      <c r="L19" s="310"/>
    </row>
    <row r="20" spans="1:12" s="10" customFormat="1" ht="49.95" hidden="1" customHeight="1" x14ac:dyDescent="0.25">
      <c r="A20" s="442"/>
      <c r="B20" s="502"/>
      <c r="C20" s="418"/>
      <c r="D20" s="419"/>
      <c r="E20" s="475"/>
      <c r="F20" s="492"/>
      <c r="G20" s="492"/>
      <c r="H20" s="418"/>
      <c r="I20" s="133"/>
      <c r="J20" s="39"/>
      <c r="K20" s="21"/>
      <c r="L20" s="293"/>
    </row>
    <row r="21" spans="1:12" s="10" customFormat="1" ht="49.95" hidden="1" customHeight="1" x14ac:dyDescent="0.25">
      <c r="A21" s="442"/>
      <c r="B21" s="502"/>
      <c r="C21" s="418"/>
      <c r="D21" s="419"/>
      <c r="E21" s="475"/>
      <c r="F21" s="492"/>
      <c r="G21" s="492"/>
      <c r="H21" s="418"/>
      <c r="I21" s="133"/>
      <c r="J21" s="39"/>
      <c r="K21" s="21"/>
      <c r="L21" s="204"/>
    </row>
    <row r="22" spans="1:12" s="10" customFormat="1" ht="49.95" hidden="1" customHeight="1" x14ac:dyDescent="0.25">
      <c r="A22" s="442"/>
      <c r="B22" s="502"/>
      <c r="C22" s="418"/>
      <c r="D22" s="419"/>
      <c r="E22" s="475"/>
      <c r="F22" s="492"/>
      <c r="G22" s="492"/>
      <c r="H22" s="418"/>
      <c r="I22" s="180"/>
      <c r="J22" s="291"/>
      <c r="K22" s="290"/>
      <c r="L22" s="204"/>
    </row>
    <row r="23" spans="1:12" s="10" customFormat="1" ht="49.95" hidden="1" customHeight="1" thickBot="1" x14ac:dyDescent="0.3">
      <c r="A23" s="555"/>
      <c r="B23" s="573"/>
      <c r="C23" s="435"/>
      <c r="D23" s="521"/>
      <c r="E23" s="539"/>
      <c r="F23" s="525"/>
      <c r="G23" s="525"/>
      <c r="H23" s="435"/>
      <c r="I23" s="143"/>
      <c r="J23" s="44"/>
      <c r="K23" s="243"/>
      <c r="L23" s="144"/>
    </row>
    <row r="24" spans="1:12" s="10" customFormat="1" ht="100.05" hidden="1" customHeight="1" thickBot="1" x14ac:dyDescent="0.3">
      <c r="A24" s="295"/>
      <c r="B24" s="288"/>
      <c r="C24" s="113"/>
      <c r="D24" s="151"/>
      <c r="E24" s="287"/>
      <c r="F24" s="167"/>
      <c r="G24" s="81"/>
      <c r="H24" s="113"/>
      <c r="I24" s="141"/>
      <c r="J24" s="101"/>
      <c r="K24" s="239"/>
      <c r="L24" s="142"/>
    </row>
    <row r="25" spans="1:12" s="10" customFormat="1" ht="70.05" customHeight="1" thickBot="1" x14ac:dyDescent="0.3">
      <c r="A25" s="562"/>
      <c r="B25" s="563"/>
      <c r="C25" s="563"/>
      <c r="D25" s="563"/>
      <c r="E25" s="563"/>
      <c r="F25" s="563"/>
      <c r="G25" s="563"/>
      <c r="H25" s="564"/>
      <c r="I25" s="565" t="s">
        <v>805</v>
      </c>
      <c r="J25" s="566"/>
      <c r="K25" s="567"/>
      <c r="L25" s="286">
        <f>SUM(L4:L24)</f>
        <v>16489</v>
      </c>
    </row>
  </sheetData>
  <autoFilter ref="A3:L25" xr:uid="{00000000-0009-0000-0000-00000E000000}"/>
  <mergeCells count="52">
    <mergeCell ref="G6:G7"/>
    <mergeCell ref="H6:H7"/>
    <mergeCell ref="G4:G5"/>
    <mergeCell ref="H4:H5"/>
    <mergeCell ref="A1:L1"/>
    <mergeCell ref="A2:F2"/>
    <mergeCell ref="G2:L2"/>
    <mergeCell ref="E10:E11"/>
    <mergeCell ref="F10:F11"/>
    <mergeCell ref="A4:A5"/>
    <mergeCell ref="B4:B5"/>
    <mergeCell ref="C4:C5"/>
    <mergeCell ref="D4:D5"/>
    <mergeCell ref="E4:E5"/>
    <mergeCell ref="F4:F5"/>
    <mergeCell ref="A6:A7"/>
    <mergeCell ref="C6:C7"/>
    <mergeCell ref="D6:D7"/>
    <mergeCell ref="E6:E7"/>
    <mergeCell ref="F6:F7"/>
    <mergeCell ref="E16:E18"/>
    <mergeCell ref="F16:F18"/>
    <mergeCell ref="G10:G11"/>
    <mergeCell ref="H10:H11"/>
    <mergeCell ref="A13:A14"/>
    <mergeCell ref="B13:B14"/>
    <mergeCell ref="C13:C14"/>
    <mergeCell ref="D13:D14"/>
    <mergeCell ref="E13:E14"/>
    <mergeCell ref="F13:F14"/>
    <mergeCell ref="G13:G14"/>
    <mergeCell ref="H13:H14"/>
    <mergeCell ref="A10:A11"/>
    <mergeCell ref="B10:B11"/>
    <mergeCell ref="C10:C11"/>
    <mergeCell ref="D10:D11"/>
    <mergeCell ref="A25:H25"/>
    <mergeCell ref="I25:K25"/>
    <mergeCell ref="G16:G18"/>
    <mergeCell ref="H16:H18"/>
    <mergeCell ref="A19:A23"/>
    <mergeCell ref="B19:B23"/>
    <mergeCell ref="C19:C23"/>
    <mergeCell ref="D19:D23"/>
    <mergeCell ref="E19:E23"/>
    <mergeCell ref="F19:F23"/>
    <mergeCell ref="G19:G23"/>
    <mergeCell ref="H19:H23"/>
    <mergeCell ref="A16:A18"/>
    <mergeCell ref="B16:B18"/>
    <mergeCell ref="C16:C18"/>
    <mergeCell ref="D16:D18"/>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L32"/>
  <sheetViews>
    <sheetView view="pageBreakPreview" zoomScale="55" zoomScaleNormal="40" zoomScaleSheetLayoutView="55" workbookViewId="0">
      <pane ySplit="1" topLeftCell="A5" activePane="bottomLeft" state="frozen"/>
      <selection pane="bottomLeft" activeCell="I11" sqref="I11:K11"/>
    </sheetView>
  </sheetViews>
  <sheetFormatPr defaultColWidth="14.44140625" defaultRowHeight="15.75" customHeight="1" x14ac:dyDescent="0.25"/>
  <cols>
    <col min="1" max="1" width="8.33203125" bestFit="1" customWidth="1"/>
    <col min="2" max="2" width="8.33203125" customWidth="1"/>
    <col min="3" max="3" width="30" bestFit="1" customWidth="1"/>
    <col min="4" max="4" width="30.21875" style="1" bestFit="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v>
      </c>
      <c r="B1" s="385"/>
      <c r="C1" s="385"/>
      <c r="D1" s="385"/>
      <c r="E1" s="385"/>
      <c r="F1" s="385"/>
      <c r="G1" s="385"/>
      <c r="H1" s="385"/>
      <c r="I1" s="385"/>
      <c r="J1" s="385"/>
      <c r="K1" s="385"/>
      <c r="L1" s="386"/>
    </row>
    <row r="2" spans="1:12" s="8" customFormat="1" ht="50.1" customHeight="1" thickBot="1" x14ac:dyDescent="0.35">
      <c r="A2" s="533" t="s">
        <v>12</v>
      </c>
      <c r="B2" s="534"/>
      <c r="C2" s="535"/>
      <c r="D2" s="535"/>
      <c r="E2" s="535"/>
      <c r="F2" s="535"/>
      <c r="G2" s="536" t="s">
        <v>849</v>
      </c>
      <c r="H2" s="536"/>
      <c r="I2" s="536"/>
      <c r="J2" s="537"/>
      <c r="K2" s="537"/>
      <c r="L2" s="538"/>
    </row>
    <row r="3" spans="1:12" s="10" customFormat="1" ht="50.1" customHeight="1" thickBot="1" x14ac:dyDescent="0.3">
      <c r="A3" s="159" t="s">
        <v>23</v>
      </c>
      <c r="B3" s="228" t="s">
        <v>653</v>
      </c>
      <c r="C3" s="160" t="s">
        <v>224</v>
      </c>
      <c r="D3" s="161" t="s">
        <v>22</v>
      </c>
      <c r="E3" s="162" t="s">
        <v>0</v>
      </c>
      <c r="F3" s="162" t="s">
        <v>2</v>
      </c>
      <c r="G3" s="162" t="s">
        <v>19</v>
      </c>
      <c r="H3" s="160" t="s">
        <v>1</v>
      </c>
      <c r="I3" s="160" t="s">
        <v>15</v>
      </c>
      <c r="J3" s="160" t="s">
        <v>592</v>
      </c>
      <c r="K3" s="160" t="s">
        <v>591</v>
      </c>
      <c r="L3" s="163" t="s">
        <v>804</v>
      </c>
    </row>
    <row r="4" spans="1:12" s="10" customFormat="1" ht="49.95" customHeight="1" x14ac:dyDescent="0.25">
      <c r="A4" s="570">
        <v>1</v>
      </c>
      <c r="B4" s="572">
        <v>1</v>
      </c>
      <c r="C4" s="528">
        <v>45139</v>
      </c>
      <c r="D4" s="520">
        <v>2023073100001</v>
      </c>
      <c r="E4" s="569" t="s">
        <v>454</v>
      </c>
      <c r="F4" s="524" t="s">
        <v>850</v>
      </c>
      <c r="G4" s="524" t="s">
        <v>851</v>
      </c>
      <c r="H4" s="577">
        <v>45139</v>
      </c>
      <c r="I4" s="141" t="s">
        <v>852</v>
      </c>
      <c r="J4" s="101" t="s">
        <v>854</v>
      </c>
      <c r="K4" s="239" t="s">
        <v>596</v>
      </c>
      <c r="L4" s="142">
        <v>750</v>
      </c>
    </row>
    <row r="5" spans="1:12" s="10" customFormat="1" ht="49.95" customHeight="1" x14ac:dyDescent="0.25">
      <c r="A5" s="442"/>
      <c r="B5" s="501"/>
      <c r="C5" s="413"/>
      <c r="D5" s="415"/>
      <c r="E5" s="464" t="s">
        <v>454</v>
      </c>
      <c r="F5" s="493"/>
      <c r="G5" s="493"/>
      <c r="H5" s="578"/>
      <c r="I5" s="133" t="s">
        <v>853</v>
      </c>
      <c r="J5" s="39" t="s">
        <v>855</v>
      </c>
      <c r="K5" s="21" t="s">
        <v>596</v>
      </c>
      <c r="L5" s="134">
        <v>3375</v>
      </c>
    </row>
    <row r="6" spans="1:12" s="10" customFormat="1" ht="49.95" customHeight="1" x14ac:dyDescent="0.25">
      <c r="A6" s="442"/>
      <c r="B6" s="502">
        <v>2</v>
      </c>
      <c r="C6" s="418">
        <v>45139</v>
      </c>
      <c r="D6" s="419">
        <v>2023073100003</v>
      </c>
      <c r="E6" s="475" t="s">
        <v>454</v>
      </c>
      <c r="F6" s="492" t="s">
        <v>856</v>
      </c>
      <c r="G6" s="492" t="s">
        <v>857</v>
      </c>
      <c r="H6" s="575">
        <v>45139</v>
      </c>
      <c r="I6" s="180" t="s">
        <v>858</v>
      </c>
      <c r="J6" s="299" t="s">
        <v>595</v>
      </c>
      <c r="K6" s="300" t="s">
        <v>596</v>
      </c>
      <c r="L6" s="204">
        <f>9845*K6</f>
        <v>9845</v>
      </c>
    </row>
    <row r="7" spans="1:12" s="10" customFormat="1" ht="49.95" customHeight="1" thickBot="1" x14ac:dyDescent="0.3">
      <c r="A7" s="442"/>
      <c r="B7" s="502"/>
      <c r="C7" s="418"/>
      <c r="D7" s="419"/>
      <c r="E7" s="475" t="s">
        <v>454</v>
      </c>
      <c r="F7" s="492"/>
      <c r="G7" s="492"/>
      <c r="H7" s="576"/>
      <c r="I7" s="143" t="s">
        <v>859</v>
      </c>
      <c r="J7" s="44" t="s">
        <v>597</v>
      </c>
      <c r="K7" s="243" t="s">
        <v>596</v>
      </c>
      <c r="L7" s="144">
        <f>750*K7</f>
        <v>750</v>
      </c>
    </row>
    <row r="8" spans="1:12" s="10" customFormat="1" ht="21" x14ac:dyDescent="0.25">
      <c r="A8" s="442"/>
      <c r="B8" s="381" t="s">
        <v>844</v>
      </c>
      <c r="C8" s="381"/>
      <c r="D8" s="381"/>
      <c r="E8" s="381"/>
      <c r="F8" s="381"/>
      <c r="G8" s="381"/>
      <c r="H8" s="381"/>
      <c r="I8" s="260" t="s">
        <v>598</v>
      </c>
      <c r="J8" s="263" t="s">
        <v>595</v>
      </c>
      <c r="K8" s="264" t="str">
        <f>K6</f>
        <v>1</v>
      </c>
      <c r="L8" s="312">
        <f>L6</f>
        <v>9845</v>
      </c>
    </row>
    <row r="9" spans="1:12" s="10" customFormat="1" ht="21" x14ac:dyDescent="0.25">
      <c r="A9" s="442"/>
      <c r="B9" s="381"/>
      <c r="C9" s="381"/>
      <c r="D9" s="381"/>
      <c r="E9" s="381"/>
      <c r="F9" s="381"/>
      <c r="G9" s="381"/>
      <c r="H9" s="381"/>
      <c r="I9" s="260" t="s">
        <v>859</v>
      </c>
      <c r="J9" s="263" t="s">
        <v>861</v>
      </c>
      <c r="K9" s="264">
        <f>K7+K4</f>
        <v>2</v>
      </c>
      <c r="L9" s="313">
        <f>L4+L7</f>
        <v>1500</v>
      </c>
    </row>
    <row r="10" spans="1:12" s="10" customFormat="1" ht="21" x14ac:dyDescent="0.25">
      <c r="A10" s="442"/>
      <c r="B10" s="381"/>
      <c r="C10" s="381"/>
      <c r="D10" s="381"/>
      <c r="E10" s="381"/>
      <c r="F10" s="381"/>
      <c r="G10" s="381"/>
      <c r="H10" s="381"/>
      <c r="I10" s="260" t="s">
        <v>860</v>
      </c>
      <c r="J10" s="263" t="s">
        <v>862</v>
      </c>
      <c r="K10" s="264" t="str">
        <f>K5</f>
        <v>1</v>
      </c>
      <c r="L10" s="311">
        <f>L5</f>
        <v>3375</v>
      </c>
    </row>
    <row r="11" spans="1:12" s="10" customFormat="1" ht="30.6" customHeight="1" thickBot="1" x14ac:dyDescent="0.3">
      <c r="A11" s="571"/>
      <c r="B11" s="579"/>
      <c r="C11" s="579"/>
      <c r="D11" s="579"/>
      <c r="E11" s="579"/>
      <c r="F11" s="579"/>
      <c r="G11" s="579"/>
      <c r="H11" s="579"/>
      <c r="I11" s="580" t="s">
        <v>1037</v>
      </c>
      <c r="J11" s="581"/>
      <c r="K11" s="582"/>
      <c r="L11" s="285">
        <f>SUM(L4:L7)</f>
        <v>14720</v>
      </c>
    </row>
    <row r="12" spans="1:12" s="10" customFormat="1" ht="49.95" customHeight="1" x14ac:dyDescent="0.25">
      <c r="A12" s="568">
        <v>2</v>
      </c>
      <c r="B12" s="488">
        <v>1</v>
      </c>
      <c r="C12" s="434">
        <v>45153</v>
      </c>
      <c r="D12" s="419">
        <v>2023071700001</v>
      </c>
      <c r="E12" s="475" t="s">
        <v>454</v>
      </c>
      <c r="F12" s="492" t="s">
        <v>863</v>
      </c>
      <c r="G12" s="492" t="s">
        <v>864</v>
      </c>
      <c r="H12" s="560">
        <v>45154</v>
      </c>
      <c r="I12" s="141" t="s">
        <v>617</v>
      </c>
      <c r="J12" s="101" t="s">
        <v>869</v>
      </c>
      <c r="K12" s="239">
        <v>56</v>
      </c>
      <c r="L12" s="142">
        <v>2632</v>
      </c>
    </row>
    <row r="13" spans="1:12" s="10" customFormat="1" ht="49.95" customHeight="1" thickBot="1" x14ac:dyDescent="0.3">
      <c r="A13" s="558"/>
      <c r="B13" s="559"/>
      <c r="C13" s="435"/>
      <c r="D13" s="521"/>
      <c r="E13" s="539"/>
      <c r="F13" s="525"/>
      <c r="G13" s="525"/>
      <c r="H13" s="561"/>
      <c r="I13" s="143" t="s">
        <v>865</v>
      </c>
      <c r="J13" s="44" t="s">
        <v>870</v>
      </c>
      <c r="K13" s="243">
        <v>10</v>
      </c>
      <c r="L13" s="144">
        <v>4920</v>
      </c>
    </row>
    <row r="14" spans="1:12" s="10" customFormat="1" ht="100.05" customHeight="1" thickBot="1" x14ac:dyDescent="0.3">
      <c r="A14" s="294">
        <v>3</v>
      </c>
      <c r="B14" s="253">
        <v>1</v>
      </c>
      <c r="C14" s="100">
        <v>45145</v>
      </c>
      <c r="D14" s="165">
        <v>2023080400006</v>
      </c>
      <c r="E14" s="250" t="s">
        <v>872</v>
      </c>
      <c r="F14" s="306" t="s">
        <v>866</v>
      </c>
      <c r="G14" s="99" t="s">
        <v>867</v>
      </c>
      <c r="H14" s="307">
        <v>45145</v>
      </c>
      <c r="I14" s="169" t="s">
        <v>868</v>
      </c>
      <c r="J14" s="164" t="s">
        <v>871</v>
      </c>
      <c r="K14" s="229">
        <v>1</v>
      </c>
      <c r="L14" s="166">
        <v>1535</v>
      </c>
    </row>
    <row r="15" spans="1:12" s="10" customFormat="1" ht="100.05" customHeight="1" thickBot="1" x14ac:dyDescent="0.3">
      <c r="A15" s="284">
        <v>4</v>
      </c>
      <c r="B15" s="309">
        <v>1</v>
      </c>
      <c r="C15" s="100">
        <v>45153</v>
      </c>
      <c r="D15" s="165">
        <v>2023081600002</v>
      </c>
      <c r="E15" s="250" t="s">
        <v>25</v>
      </c>
      <c r="F15" s="306" t="s">
        <v>873</v>
      </c>
      <c r="G15" s="99" t="s">
        <v>874</v>
      </c>
      <c r="H15" s="100">
        <v>45154</v>
      </c>
      <c r="I15" s="169" t="s">
        <v>603</v>
      </c>
      <c r="J15" s="164" t="s">
        <v>604</v>
      </c>
      <c r="K15" s="229">
        <v>1</v>
      </c>
      <c r="L15" s="166">
        <v>299</v>
      </c>
    </row>
    <row r="16" spans="1:12" s="10" customFormat="1" ht="100.05" customHeight="1" thickBot="1" x14ac:dyDescent="0.3">
      <c r="A16" s="294">
        <v>5</v>
      </c>
      <c r="B16" s="308">
        <v>1</v>
      </c>
      <c r="C16" s="296">
        <v>45156</v>
      </c>
      <c r="D16" s="297">
        <v>2023071200027</v>
      </c>
      <c r="E16" s="301" t="s">
        <v>25</v>
      </c>
      <c r="F16" s="302" t="s">
        <v>876</v>
      </c>
      <c r="G16" s="298" t="s">
        <v>877</v>
      </c>
      <c r="H16" s="296">
        <v>45156</v>
      </c>
      <c r="I16" s="303" t="s">
        <v>878</v>
      </c>
      <c r="J16" s="304" t="s">
        <v>879</v>
      </c>
      <c r="K16" s="305">
        <v>1</v>
      </c>
      <c r="L16" s="249">
        <v>354</v>
      </c>
    </row>
    <row r="17" spans="1:12" s="10" customFormat="1" ht="49.95" customHeight="1" x14ac:dyDescent="0.25">
      <c r="A17" s="530">
        <v>6</v>
      </c>
      <c r="B17" s="574">
        <v>1</v>
      </c>
      <c r="C17" s="434">
        <v>45153</v>
      </c>
      <c r="D17" s="520">
        <v>2023071200025</v>
      </c>
      <c r="E17" s="569" t="s">
        <v>875</v>
      </c>
      <c r="F17" s="524" t="s">
        <v>880</v>
      </c>
      <c r="G17" s="524" t="s">
        <v>881</v>
      </c>
      <c r="H17" s="434">
        <v>45153</v>
      </c>
      <c r="I17" s="141" t="s">
        <v>882</v>
      </c>
      <c r="J17" s="101" t="s">
        <v>884</v>
      </c>
      <c r="K17" s="239">
        <v>1</v>
      </c>
      <c r="L17" s="142">
        <v>9845</v>
      </c>
    </row>
    <row r="18" spans="1:12" s="10" customFormat="1" ht="49.95" customHeight="1" thickBot="1" x14ac:dyDescent="0.3">
      <c r="A18" s="531"/>
      <c r="B18" s="559"/>
      <c r="C18" s="435"/>
      <c r="D18" s="521"/>
      <c r="E18" s="539" t="s">
        <v>454</v>
      </c>
      <c r="F18" s="525"/>
      <c r="G18" s="525"/>
      <c r="H18" s="435"/>
      <c r="I18" s="143" t="s">
        <v>883</v>
      </c>
      <c r="J18" s="44" t="s">
        <v>885</v>
      </c>
      <c r="K18" s="243">
        <v>1</v>
      </c>
      <c r="L18" s="144">
        <v>750</v>
      </c>
    </row>
    <row r="19" spans="1:12" s="10" customFormat="1" ht="100.05" customHeight="1" thickBot="1" x14ac:dyDescent="0.3">
      <c r="A19" s="294">
        <v>7</v>
      </c>
      <c r="B19" s="253">
        <v>1</v>
      </c>
      <c r="C19" s="113">
        <v>45154</v>
      </c>
      <c r="D19" s="151">
        <v>2023081500004</v>
      </c>
      <c r="E19" s="250" t="s">
        <v>25</v>
      </c>
      <c r="F19" s="167" t="s">
        <v>886</v>
      </c>
      <c r="G19" s="81" t="s">
        <v>887</v>
      </c>
      <c r="H19" s="113">
        <v>45155</v>
      </c>
      <c r="I19" s="143" t="s">
        <v>889</v>
      </c>
      <c r="J19" s="164" t="s">
        <v>888</v>
      </c>
      <c r="K19" s="243">
        <v>50</v>
      </c>
      <c r="L19" s="166">
        <v>2350</v>
      </c>
    </row>
    <row r="20" spans="1:12" s="10" customFormat="1" ht="49.95" customHeight="1" x14ac:dyDescent="0.25">
      <c r="A20" s="530">
        <v>8</v>
      </c>
      <c r="B20" s="574">
        <v>1</v>
      </c>
      <c r="C20" s="434">
        <v>45139</v>
      </c>
      <c r="D20" s="520">
        <v>2023080100002</v>
      </c>
      <c r="E20" s="569" t="s">
        <v>875</v>
      </c>
      <c r="F20" s="524" t="s">
        <v>890</v>
      </c>
      <c r="G20" s="524" t="s">
        <v>891</v>
      </c>
      <c r="H20" s="434">
        <v>45139</v>
      </c>
      <c r="I20" s="141" t="s">
        <v>882</v>
      </c>
      <c r="J20" s="101" t="s">
        <v>884</v>
      </c>
      <c r="K20" s="239">
        <v>1</v>
      </c>
      <c r="L20" s="142">
        <v>9845</v>
      </c>
    </row>
    <row r="21" spans="1:12" s="10" customFormat="1" ht="49.95" customHeight="1" thickBot="1" x14ac:dyDescent="0.3">
      <c r="A21" s="531"/>
      <c r="B21" s="559"/>
      <c r="C21" s="435"/>
      <c r="D21" s="521"/>
      <c r="E21" s="539" t="s">
        <v>454</v>
      </c>
      <c r="F21" s="525"/>
      <c r="G21" s="525"/>
      <c r="H21" s="435"/>
      <c r="I21" s="143" t="s">
        <v>883</v>
      </c>
      <c r="J21" s="44" t="s">
        <v>885</v>
      </c>
      <c r="K21" s="243">
        <v>1</v>
      </c>
      <c r="L21" s="144">
        <v>750</v>
      </c>
    </row>
    <row r="22" spans="1:12" s="10" customFormat="1" ht="100.05" customHeight="1" thickBot="1" x14ac:dyDescent="0.3">
      <c r="A22" s="294">
        <v>9</v>
      </c>
      <c r="B22" s="253">
        <v>1</v>
      </c>
      <c r="C22" s="90">
        <v>45152</v>
      </c>
      <c r="D22" s="152">
        <v>2023081600001</v>
      </c>
      <c r="E22" s="250" t="s">
        <v>893</v>
      </c>
      <c r="F22" s="292" t="s">
        <v>894</v>
      </c>
      <c r="G22" s="89" t="s">
        <v>895</v>
      </c>
      <c r="H22" s="90">
        <v>45153</v>
      </c>
      <c r="I22" s="143" t="s">
        <v>896</v>
      </c>
      <c r="J22" s="164" t="s">
        <v>897</v>
      </c>
      <c r="K22" s="243">
        <v>4</v>
      </c>
      <c r="L22" s="166">
        <v>3624</v>
      </c>
    </row>
    <row r="23" spans="1:12" s="10" customFormat="1" ht="49.95" customHeight="1" thickBot="1" x14ac:dyDescent="0.3">
      <c r="A23" s="530">
        <v>10</v>
      </c>
      <c r="B23" s="574">
        <v>1</v>
      </c>
      <c r="C23" s="434">
        <v>45161</v>
      </c>
      <c r="D23" s="520">
        <v>2023082300001</v>
      </c>
      <c r="E23" s="569" t="s">
        <v>875</v>
      </c>
      <c r="F23" s="524" t="s">
        <v>898</v>
      </c>
      <c r="G23" s="524" t="s">
        <v>899</v>
      </c>
      <c r="H23" s="434">
        <v>45162</v>
      </c>
      <c r="I23" s="141" t="s">
        <v>900</v>
      </c>
      <c r="J23" s="101" t="s">
        <v>888</v>
      </c>
      <c r="K23" s="239">
        <v>125</v>
      </c>
      <c r="L23" s="142">
        <v>5875</v>
      </c>
    </row>
    <row r="24" spans="1:12" s="10" customFormat="1" ht="49.95" customHeight="1" x14ac:dyDescent="0.25">
      <c r="A24" s="437"/>
      <c r="B24" s="488"/>
      <c r="C24" s="418"/>
      <c r="D24" s="419"/>
      <c r="E24" s="475"/>
      <c r="F24" s="492"/>
      <c r="G24" s="492"/>
      <c r="H24" s="418"/>
      <c r="I24" s="289" t="s">
        <v>901</v>
      </c>
      <c r="J24" s="291" t="s">
        <v>903</v>
      </c>
      <c r="K24" s="290">
        <v>10</v>
      </c>
      <c r="L24" s="142">
        <v>510</v>
      </c>
    </row>
    <row r="25" spans="1:12" s="10" customFormat="1" ht="49.95" customHeight="1" thickBot="1" x14ac:dyDescent="0.3">
      <c r="A25" s="531"/>
      <c r="B25" s="559"/>
      <c r="C25" s="435"/>
      <c r="D25" s="521"/>
      <c r="E25" s="539" t="s">
        <v>454</v>
      </c>
      <c r="F25" s="525"/>
      <c r="G25" s="525"/>
      <c r="H25" s="435"/>
      <c r="I25" s="143" t="s">
        <v>902</v>
      </c>
      <c r="J25" s="44" t="s">
        <v>904</v>
      </c>
      <c r="K25" s="243">
        <v>1</v>
      </c>
      <c r="L25" s="144">
        <v>299</v>
      </c>
    </row>
    <row r="26" spans="1:12" s="10" customFormat="1" ht="49.95" customHeight="1" x14ac:dyDescent="0.25">
      <c r="A26" s="554">
        <v>11</v>
      </c>
      <c r="B26" s="572">
        <v>1</v>
      </c>
      <c r="C26" s="434">
        <v>45166</v>
      </c>
      <c r="D26" s="520">
        <v>2023090100002</v>
      </c>
      <c r="E26" s="569" t="s">
        <v>875</v>
      </c>
      <c r="F26" s="524" t="s">
        <v>905</v>
      </c>
      <c r="G26" s="524" t="s">
        <v>906</v>
      </c>
      <c r="H26" s="434">
        <v>45167</v>
      </c>
      <c r="I26" s="141" t="s">
        <v>900</v>
      </c>
      <c r="J26" s="101" t="s">
        <v>903</v>
      </c>
      <c r="K26" s="239">
        <v>120</v>
      </c>
      <c r="L26" s="310">
        <v>5640</v>
      </c>
    </row>
    <row r="27" spans="1:12" s="10" customFormat="1" ht="49.95" customHeight="1" x14ac:dyDescent="0.25">
      <c r="A27" s="442"/>
      <c r="B27" s="502"/>
      <c r="C27" s="418"/>
      <c r="D27" s="419"/>
      <c r="E27" s="475"/>
      <c r="F27" s="492"/>
      <c r="G27" s="492"/>
      <c r="H27" s="418"/>
      <c r="I27" s="133" t="s">
        <v>901</v>
      </c>
      <c r="J27" s="39" t="s">
        <v>903</v>
      </c>
      <c r="K27" s="21">
        <v>5</v>
      </c>
      <c r="L27" s="293">
        <v>255</v>
      </c>
    </row>
    <row r="28" spans="1:12" s="10" customFormat="1" ht="49.95" customHeight="1" x14ac:dyDescent="0.25">
      <c r="A28" s="442"/>
      <c r="B28" s="502"/>
      <c r="C28" s="418"/>
      <c r="D28" s="419"/>
      <c r="E28" s="475"/>
      <c r="F28" s="492"/>
      <c r="G28" s="492"/>
      <c r="H28" s="418"/>
      <c r="I28" s="133" t="s">
        <v>882</v>
      </c>
      <c r="J28" s="39" t="s">
        <v>908</v>
      </c>
      <c r="K28" s="21">
        <v>1</v>
      </c>
      <c r="L28" s="204">
        <v>9845</v>
      </c>
    </row>
    <row r="29" spans="1:12" s="10" customFormat="1" ht="49.95" customHeight="1" x14ac:dyDescent="0.25">
      <c r="A29" s="442"/>
      <c r="B29" s="502"/>
      <c r="C29" s="418"/>
      <c r="D29" s="419"/>
      <c r="E29" s="475"/>
      <c r="F29" s="492"/>
      <c r="G29" s="492"/>
      <c r="H29" s="418"/>
      <c r="I29" s="180" t="s">
        <v>907</v>
      </c>
      <c r="J29" s="291" t="s">
        <v>861</v>
      </c>
      <c r="K29" s="290">
        <v>1</v>
      </c>
      <c r="L29" s="204">
        <v>750</v>
      </c>
    </row>
    <row r="30" spans="1:12" s="10" customFormat="1" ht="49.95" customHeight="1" thickBot="1" x14ac:dyDescent="0.3">
      <c r="A30" s="555"/>
      <c r="B30" s="573"/>
      <c r="C30" s="435"/>
      <c r="D30" s="521"/>
      <c r="E30" s="539" t="s">
        <v>454</v>
      </c>
      <c r="F30" s="525"/>
      <c r="G30" s="525"/>
      <c r="H30" s="435"/>
      <c r="I30" s="143" t="s">
        <v>909</v>
      </c>
      <c r="J30" s="44" t="s">
        <v>910</v>
      </c>
      <c r="K30" s="243">
        <v>1</v>
      </c>
      <c r="L30" s="144">
        <v>299</v>
      </c>
    </row>
    <row r="31" spans="1:12" s="10" customFormat="1" ht="100.05" customHeight="1" thickBot="1" x14ac:dyDescent="0.3">
      <c r="A31" s="295">
        <v>12</v>
      </c>
      <c r="B31" s="288">
        <v>1</v>
      </c>
      <c r="C31" s="113">
        <v>45142</v>
      </c>
      <c r="D31" s="151">
        <v>2023082500003</v>
      </c>
      <c r="E31" s="287" t="s">
        <v>875</v>
      </c>
      <c r="F31" s="167" t="s">
        <v>911</v>
      </c>
      <c r="G31" s="81" t="s">
        <v>912</v>
      </c>
      <c r="H31" s="113">
        <v>45143</v>
      </c>
      <c r="I31" s="141" t="s">
        <v>913</v>
      </c>
      <c r="J31" s="101" t="s">
        <v>914</v>
      </c>
      <c r="K31" s="239">
        <v>1</v>
      </c>
      <c r="L31" s="142">
        <v>1535</v>
      </c>
    </row>
    <row r="32" spans="1:12" s="10" customFormat="1" ht="70.05" customHeight="1" thickBot="1" x14ac:dyDescent="0.3">
      <c r="A32" s="562"/>
      <c r="B32" s="563"/>
      <c r="C32" s="563"/>
      <c r="D32" s="563"/>
      <c r="E32" s="563"/>
      <c r="F32" s="563"/>
      <c r="G32" s="563"/>
      <c r="H32" s="564"/>
      <c r="I32" s="565" t="s">
        <v>848</v>
      </c>
      <c r="J32" s="566"/>
      <c r="K32" s="567"/>
      <c r="L32" s="286">
        <f>SUM(L12:L31)+L11</f>
        <v>76632</v>
      </c>
    </row>
  </sheetData>
  <autoFilter ref="A3:L32" xr:uid="{00000000-0009-0000-0000-00000F000000}"/>
  <mergeCells count="62">
    <mergeCell ref="A1:L1"/>
    <mergeCell ref="A2:F2"/>
    <mergeCell ref="G2:L2"/>
    <mergeCell ref="A4:A11"/>
    <mergeCell ref="B4:B5"/>
    <mergeCell ref="C4:C5"/>
    <mergeCell ref="D4:D5"/>
    <mergeCell ref="E4:E5"/>
    <mergeCell ref="F4:F5"/>
    <mergeCell ref="G4:G5"/>
    <mergeCell ref="H4:H5"/>
    <mergeCell ref="B6:B7"/>
    <mergeCell ref="C6:C7"/>
    <mergeCell ref="D6:D7"/>
    <mergeCell ref="B8:H11"/>
    <mergeCell ref="I11:K11"/>
    <mergeCell ref="A12:A13"/>
    <mergeCell ref="B12:B13"/>
    <mergeCell ref="C12:C13"/>
    <mergeCell ref="D12:D13"/>
    <mergeCell ref="F12:F13"/>
    <mergeCell ref="G12:G13"/>
    <mergeCell ref="E6:E7"/>
    <mergeCell ref="F6:F7"/>
    <mergeCell ref="G6:G7"/>
    <mergeCell ref="H6:H7"/>
    <mergeCell ref="H12:H13"/>
    <mergeCell ref="E12:E13"/>
    <mergeCell ref="F23:F25"/>
    <mergeCell ref="G23:G25"/>
    <mergeCell ref="H23:H25"/>
    <mergeCell ref="A26:A30"/>
    <mergeCell ref="B26:B30"/>
    <mergeCell ref="H26:H30"/>
    <mergeCell ref="C26:C30"/>
    <mergeCell ref="D26:D30"/>
    <mergeCell ref="E26:E30"/>
    <mergeCell ref="F26:F30"/>
    <mergeCell ref="G26:G30"/>
    <mergeCell ref="H20:H21"/>
    <mergeCell ref="B20:B21"/>
    <mergeCell ref="C20:C21"/>
    <mergeCell ref="D20:D21"/>
    <mergeCell ref="E20:E21"/>
    <mergeCell ref="F20:F21"/>
    <mergeCell ref="G20:G21"/>
    <mergeCell ref="I32:K32"/>
    <mergeCell ref="A32:H32"/>
    <mergeCell ref="F17:F18"/>
    <mergeCell ref="G17:G18"/>
    <mergeCell ref="H17:H18"/>
    <mergeCell ref="A20:A21"/>
    <mergeCell ref="A23:A25"/>
    <mergeCell ref="B23:B25"/>
    <mergeCell ref="C23:C25"/>
    <mergeCell ref="D23:D25"/>
    <mergeCell ref="E23:E25"/>
    <mergeCell ref="A17:A18"/>
    <mergeCell ref="B17:B18"/>
    <mergeCell ref="C17:C18"/>
    <mergeCell ref="D17:D18"/>
    <mergeCell ref="E17:E18"/>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L31"/>
  <sheetViews>
    <sheetView view="pageBreakPreview" zoomScale="55" zoomScaleNormal="40" zoomScaleSheetLayoutView="55" workbookViewId="0">
      <pane ySplit="1" topLeftCell="A20" activePane="bottomLeft" state="frozen"/>
      <selection pane="bottomLeft" sqref="A1:L1"/>
    </sheetView>
  </sheetViews>
  <sheetFormatPr defaultColWidth="14.44140625" defaultRowHeight="15.75" customHeight="1" x14ac:dyDescent="0.25"/>
  <cols>
    <col min="1" max="1" width="8.33203125" bestFit="1" customWidth="1"/>
    <col min="2" max="2" width="8.33203125" customWidth="1"/>
    <col min="3" max="3" width="30" bestFit="1" customWidth="1"/>
    <col min="4" max="4" width="30.21875" style="1" bestFit="1" customWidth="1"/>
    <col min="5" max="5" width="25.6640625" customWidth="1"/>
    <col min="6" max="6" width="30.332031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2" ht="50.1" customHeight="1" thickBot="1" x14ac:dyDescent="0.3">
      <c r="A1" s="384" t="s">
        <v>11</v>
      </c>
      <c r="B1" s="385"/>
      <c r="C1" s="385"/>
      <c r="D1" s="385"/>
      <c r="E1" s="385"/>
      <c r="F1" s="385"/>
      <c r="G1" s="385"/>
      <c r="H1" s="385"/>
      <c r="I1" s="385"/>
      <c r="J1" s="385"/>
      <c r="K1" s="385"/>
      <c r="L1" s="386"/>
    </row>
    <row r="2" spans="1:12" s="8" customFormat="1" ht="50.1" customHeight="1" thickBot="1" x14ac:dyDescent="0.35">
      <c r="A2" s="533" t="s">
        <v>12</v>
      </c>
      <c r="B2" s="534"/>
      <c r="C2" s="535"/>
      <c r="D2" s="535"/>
      <c r="E2" s="535"/>
      <c r="F2" s="535"/>
      <c r="G2" s="536" t="s">
        <v>806</v>
      </c>
      <c r="H2" s="536"/>
      <c r="I2" s="536"/>
      <c r="J2" s="537"/>
      <c r="K2" s="537"/>
      <c r="L2" s="538"/>
    </row>
    <row r="3" spans="1:12" s="10" customFormat="1" ht="50.1" customHeight="1" thickBot="1" x14ac:dyDescent="0.3">
      <c r="A3" s="159" t="s">
        <v>23</v>
      </c>
      <c r="B3" s="228" t="s">
        <v>842</v>
      </c>
      <c r="C3" s="160" t="s">
        <v>224</v>
      </c>
      <c r="D3" s="161" t="s">
        <v>22</v>
      </c>
      <c r="E3" s="162" t="s">
        <v>0</v>
      </c>
      <c r="F3" s="162" t="s">
        <v>2</v>
      </c>
      <c r="G3" s="162" t="s">
        <v>19</v>
      </c>
      <c r="H3" s="160" t="s">
        <v>1</v>
      </c>
      <c r="I3" s="160" t="s">
        <v>15</v>
      </c>
      <c r="J3" s="160" t="s">
        <v>592</v>
      </c>
      <c r="K3" s="160" t="s">
        <v>591</v>
      </c>
      <c r="L3" s="163" t="s">
        <v>804</v>
      </c>
    </row>
    <row r="4" spans="1:12" s="10" customFormat="1" ht="50.1" customHeight="1" x14ac:dyDescent="0.25">
      <c r="A4" s="570">
        <v>1</v>
      </c>
      <c r="B4" s="572">
        <v>1</v>
      </c>
      <c r="C4" s="528">
        <v>45118</v>
      </c>
      <c r="D4" s="520">
        <v>2023071600003</v>
      </c>
      <c r="E4" s="569" t="s">
        <v>454</v>
      </c>
      <c r="F4" s="524" t="s">
        <v>826</v>
      </c>
      <c r="G4" s="524" t="s">
        <v>827</v>
      </c>
      <c r="H4" s="577">
        <v>45119</v>
      </c>
      <c r="I4" s="141" t="s">
        <v>834</v>
      </c>
      <c r="J4" s="101" t="s">
        <v>835</v>
      </c>
      <c r="K4" s="239" t="s">
        <v>836</v>
      </c>
      <c r="L4" s="142">
        <f>9845*K4</f>
        <v>9845</v>
      </c>
    </row>
    <row r="5" spans="1:12" s="10" customFormat="1" ht="50.1" customHeight="1" thickBot="1" x14ac:dyDescent="0.3">
      <c r="A5" s="442"/>
      <c r="B5" s="573"/>
      <c r="C5" s="529"/>
      <c r="D5" s="521">
        <v>2023071600003</v>
      </c>
      <c r="E5" s="539" t="s">
        <v>454</v>
      </c>
      <c r="F5" s="525" t="s">
        <v>826</v>
      </c>
      <c r="G5" s="525" t="s">
        <v>827</v>
      </c>
      <c r="H5" s="583"/>
      <c r="I5" s="143" t="s">
        <v>837</v>
      </c>
      <c r="J5" s="44" t="s">
        <v>838</v>
      </c>
      <c r="K5" s="243" t="s">
        <v>836</v>
      </c>
      <c r="L5" s="144">
        <f>750*K5</f>
        <v>750</v>
      </c>
    </row>
    <row r="6" spans="1:12" s="10" customFormat="1" ht="50.1" customHeight="1" x14ac:dyDescent="0.25">
      <c r="A6" s="442"/>
      <c r="B6" s="572">
        <v>2</v>
      </c>
      <c r="C6" s="528">
        <v>45118</v>
      </c>
      <c r="D6" s="520">
        <v>2023071700003</v>
      </c>
      <c r="E6" s="569" t="s">
        <v>454</v>
      </c>
      <c r="F6" s="524" t="s">
        <v>833</v>
      </c>
      <c r="G6" s="524" t="s">
        <v>828</v>
      </c>
      <c r="H6" s="577">
        <v>45119</v>
      </c>
      <c r="I6" s="141" t="s">
        <v>834</v>
      </c>
      <c r="J6" s="101" t="s">
        <v>835</v>
      </c>
      <c r="K6" s="239" t="s">
        <v>836</v>
      </c>
      <c r="L6" s="142">
        <f>9845*K6</f>
        <v>9845</v>
      </c>
    </row>
    <row r="7" spans="1:12" s="10" customFormat="1" ht="50.1" customHeight="1" thickBot="1" x14ac:dyDescent="0.3">
      <c r="A7" s="442"/>
      <c r="B7" s="573"/>
      <c r="C7" s="529"/>
      <c r="D7" s="521">
        <v>2023071700003</v>
      </c>
      <c r="E7" s="539" t="s">
        <v>454</v>
      </c>
      <c r="F7" s="525" t="s">
        <v>833</v>
      </c>
      <c r="G7" s="525" t="s">
        <v>828</v>
      </c>
      <c r="H7" s="583"/>
      <c r="I7" s="143" t="s">
        <v>837</v>
      </c>
      <c r="J7" s="44" t="s">
        <v>838</v>
      </c>
      <c r="K7" s="243" t="s">
        <v>836</v>
      </c>
      <c r="L7" s="144">
        <f>750*K7</f>
        <v>750</v>
      </c>
    </row>
    <row r="8" spans="1:12" s="10" customFormat="1" ht="50.1" customHeight="1" x14ac:dyDescent="0.25">
      <c r="A8" s="442"/>
      <c r="B8" s="572">
        <v>3</v>
      </c>
      <c r="C8" s="434">
        <v>45118</v>
      </c>
      <c r="D8" s="520">
        <v>2023071200018</v>
      </c>
      <c r="E8" s="569" t="s">
        <v>454</v>
      </c>
      <c r="F8" s="524" t="s">
        <v>814</v>
      </c>
      <c r="G8" s="524" t="s">
        <v>815</v>
      </c>
      <c r="H8" s="577">
        <v>45119</v>
      </c>
      <c r="I8" s="141" t="s">
        <v>834</v>
      </c>
      <c r="J8" s="101" t="s">
        <v>835</v>
      </c>
      <c r="K8" s="239" t="s">
        <v>836</v>
      </c>
      <c r="L8" s="142">
        <f>9845*K8</f>
        <v>9845</v>
      </c>
    </row>
    <row r="9" spans="1:12" s="10" customFormat="1" ht="50.1" customHeight="1" thickBot="1" x14ac:dyDescent="0.3">
      <c r="A9" s="442"/>
      <c r="B9" s="573"/>
      <c r="C9" s="435"/>
      <c r="D9" s="521">
        <v>2023071200018</v>
      </c>
      <c r="E9" s="539" t="s">
        <v>454</v>
      </c>
      <c r="F9" s="525" t="s">
        <v>814</v>
      </c>
      <c r="G9" s="525" t="s">
        <v>815</v>
      </c>
      <c r="H9" s="583"/>
      <c r="I9" s="143" t="s">
        <v>837</v>
      </c>
      <c r="J9" s="44" t="s">
        <v>838</v>
      </c>
      <c r="K9" s="243" t="s">
        <v>836</v>
      </c>
      <c r="L9" s="144">
        <f>750*K9</f>
        <v>750</v>
      </c>
    </row>
    <row r="10" spans="1:12" s="10" customFormat="1" ht="50.1" customHeight="1" x14ac:dyDescent="0.25">
      <c r="A10" s="442"/>
      <c r="B10" s="572">
        <v>4</v>
      </c>
      <c r="C10" s="434">
        <v>45118</v>
      </c>
      <c r="D10" s="520">
        <v>2023071200019</v>
      </c>
      <c r="E10" s="569" t="s">
        <v>454</v>
      </c>
      <c r="F10" s="524" t="s">
        <v>812</v>
      </c>
      <c r="G10" s="524" t="s">
        <v>813</v>
      </c>
      <c r="H10" s="577">
        <v>45119</v>
      </c>
      <c r="I10" s="141" t="s">
        <v>834</v>
      </c>
      <c r="J10" s="101" t="s">
        <v>835</v>
      </c>
      <c r="K10" s="239" t="s">
        <v>836</v>
      </c>
      <c r="L10" s="142">
        <f>9845*K10</f>
        <v>9845</v>
      </c>
    </row>
    <row r="11" spans="1:12" s="10" customFormat="1" ht="50.1" customHeight="1" thickBot="1" x14ac:dyDescent="0.3">
      <c r="A11" s="442"/>
      <c r="B11" s="573"/>
      <c r="C11" s="435"/>
      <c r="D11" s="521">
        <v>2023071200019</v>
      </c>
      <c r="E11" s="539" t="s">
        <v>454</v>
      </c>
      <c r="F11" s="525" t="s">
        <v>812</v>
      </c>
      <c r="G11" s="525" t="s">
        <v>813</v>
      </c>
      <c r="H11" s="583"/>
      <c r="I11" s="143" t="s">
        <v>837</v>
      </c>
      <c r="J11" s="44" t="s">
        <v>838</v>
      </c>
      <c r="K11" s="243" t="s">
        <v>836</v>
      </c>
      <c r="L11" s="144">
        <f>750*K11</f>
        <v>750</v>
      </c>
    </row>
    <row r="12" spans="1:12" s="10" customFormat="1" ht="50.1" customHeight="1" x14ac:dyDescent="0.25">
      <c r="A12" s="442"/>
      <c r="B12" s="572">
        <v>5</v>
      </c>
      <c r="C12" s="434">
        <v>45119</v>
      </c>
      <c r="D12" s="520">
        <v>2023071200024</v>
      </c>
      <c r="E12" s="569" t="s">
        <v>454</v>
      </c>
      <c r="F12" s="524" t="s">
        <v>816</v>
      </c>
      <c r="G12" s="524" t="s">
        <v>817</v>
      </c>
      <c r="H12" s="577">
        <v>45119</v>
      </c>
      <c r="I12" s="141" t="s">
        <v>834</v>
      </c>
      <c r="J12" s="101" t="s">
        <v>835</v>
      </c>
      <c r="K12" s="239" t="s">
        <v>836</v>
      </c>
      <c r="L12" s="142">
        <f>9845*K12</f>
        <v>9845</v>
      </c>
    </row>
    <row r="13" spans="1:12" s="10" customFormat="1" ht="50.1" customHeight="1" thickBot="1" x14ac:dyDescent="0.3">
      <c r="A13" s="442"/>
      <c r="B13" s="573"/>
      <c r="C13" s="435"/>
      <c r="D13" s="521">
        <v>2023071200024</v>
      </c>
      <c r="E13" s="539" t="s">
        <v>454</v>
      </c>
      <c r="F13" s="525" t="s">
        <v>816</v>
      </c>
      <c r="G13" s="525" t="s">
        <v>817</v>
      </c>
      <c r="H13" s="583"/>
      <c r="I13" s="143" t="s">
        <v>837</v>
      </c>
      <c r="J13" s="44" t="s">
        <v>838</v>
      </c>
      <c r="K13" s="243" t="s">
        <v>836</v>
      </c>
      <c r="L13" s="144">
        <f>750*K13</f>
        <v>750</v>
      </c>
    </row>
    <row r="14" spans="1:12" ht="48.6" customHeight="1" x14ac:dyDescent="0.25">
      <c r="A14" s="442"/>
      <c r="B14" s="572">
        <v>6</v>
      </c>
      <c r="C14" s="528">
        <v>45120</v>
      </c>
      <c r="D14" s="520">
        <v>2023071700002</v>
      </c>
      <c r="E14" s="569" t="s">
        <v>454</v>
      </c>
      <c r="F14" s="524" t="s">
        <v>829</v>
      </c>
      <c r="G14" s="524" t="s">
        <v>830</v>
      </c>
      <c r="H14" s="577">
        <v>45121</v>
      </c>
      <c r="I14" s="141" t="s">
        <v>834</v>
      </c>
      <c r="J14" s="101" t="s">
        <v>835</v>
      </c>
      <c r="K14" s="239" t="s">
        <v>836</v>
      </c>
      <c r="L14" s="142">
        <f>9845*K14</f>
        <v>9845</v>
      </c>
    </row>
    <row r="15" spans="1:12" ht="49.95" customHeight="1" thickBot="1" x14ac:dyDescent="0.3">
      <c r="A15" s="442"/>
      <c r="B15" s="573"/>
      <c r="C15" s="529"/>
      <c r="D15" s="521">
        <v>2023071700002</v>
      </c>
      <c r="E15" s="539" t="s">
        <v>454</v>
      </c>
      <c r="F15" s="525" t="s">
        <v>829</v>
      </c>
      <c r="G15" s="525" t="s">
        <v>830</v>
      </c>
      <c r="H15" s="583"/>
      <c r="I15" s="143" t="s">
        <v>837</v>
      </c>
      <c r="J15" s="44" t="s">
        <v>838</v>
      </c>
      <c r="K15" s="243" t="s">
        <v>836</v>
      </c>
      <c r="L15" s="144">
        <f>750*K15</f>
        <v>750</v>
      </c>
    </row>
    <row r="16" spans="1:12" s="10" customFormat="1" ht="50.1" customHeight="1" x14ac:dyDescent="0.25">
      <c r="A16" s="442"/>
      <c r="B16" s="572">
        <v>7</v>
      </c>
      <c r="C16" s="434">
        <v>45118</v>
      </c>
      <c r="D16" s="520">
        <v>2023071200020</v>
      </c>
      <c r="E16" s="569" t="s">
        <v>454</v>
      </c>
      <c r="F16" s="524" t="s">
        <v>820</v>
      </c>
      <c r="G16" s="524" t="s">
        <v>811</v>
      </c>
      <c r="H16" s="577">
        <v>45119</v>
      </c>
      <c r="I16" s="141" t="s">
        <v>834</v>
      </c>
      <c r="J16" s="101" t="s">
        <v>835</v>
      </c>
      <c r="K16" s="239" t="s">
        <v>836</v>
      </c>
      <c r="L16" s="142">
        <f>9845*K16</f>
        <v>9845</v>
      </c>
    </row>
    <row r="17" spans="1:12" s="10" customFormat="1" ht="50.1" customHeight="1" thickBot="1" x14ac:dyDescent="0.3">
      <c r="A17" s="442"/>
      <c r="B17" s="573"/>
      <c r="C17" s="435"/>
      <c r="D17" s="521">
        <v>2023071200020</v>
      </c>
      <c r="E17" s="539" t="s">
        <v>454</v>
      </c>
      <c r="F17" s="525" t="s">
        <v>820</v>
      </c>
      <c r="G17" s="525" t="s">
        <v>811</v>
      </c>
      <c r="H17" s="583"/>
      <c r="I17" s="143" t="s">
        <v>837</v>
      </c>
      <c r="J17" s="44" t="s">
        <v>838</v>
      </c>
      <c r="K17" s="243" t="s">
        <v>836</v>
      </c>
      <c r="L17" s="144">
        <f>750*K17</f>
        <v>750</v>
      </c>
    </row>
    <row r="18" spans="1:12" s="10" customFormat="1" ht="50.1" customHeight="1" x14ac:dyDescent="0.25">
      <c r="A18" s="442"/>
      <c r="B18" s="572">
        <v>8</v>
      </c>
      <c r="C18" s="434">
        <v>45118</v>
      </c>
      <c r="D18" s="520">
        <v>2023071200021</v>
      </c>
      <c r="E18" s="569" t="s">
        <v>454</v>
      </c>
      <c r="F18" s="524" t="s">
        <v>809</v>
      </c>
      <c r="G18" s="524" t="s">
        <v>810</v>
      </c>
      <c r="H18" s="577">
        <v>45119</v>
      </c>
      <c r="I18" s="141" t="s">
        <v>834</v>
      </c>
      <c r="J18" s="101" t="s">
        <v>835</v>
      </c>
      <c r="K18" s="239" t="s">
        <v>836</v>
      </c>
      <c r="L18" s="142">
        <f>9845*K18</f>
        <v>9845</v>
      </c>
    </row>
    <row r="19" spans="1:12" s="10" customFormat="1" ht="50.1" customHeight="1" thickBot="1" x14ac:dyDescent="0.3">
      <c r="A19" s="442"/>
      <c r="B19" s="573"/>
      <c r="C19" s="435"/>
      <c r="D19" s="521">
        <v>2023071200021</v>
      </c>
      <c r="E19" s="539" t="s">
        <v>454</v>
      </c>
      <c r="F19" s="525" t="s">
        <v>809</v>
      </c>
      <c r="G19" s="525" t="s">
        <v>810</v>
      </c>
      <c r="H19" s="583"/>
      <c r="I19" s="143" t="s">
        <v>837</v>
      </c>
      <c r="J19" s="44" t="s">
        <v>838</v>
      </c>
      <c r="K19" s="243" t="s">
        <v>836</v>
      </c>
      <c r="L19" s="144">
        <f>750*K19</f>
        <v>750</v>
      </c>
    </row>
    <row r="20" spans="1:12" s="10" customFormat="1" ht="50.1" customHeight="1" x14ac:dyDescent="0.25">
      <c r="A20" s="442"/>
      <c r="B20" s="572">
        <v>9</v>
      </c>
      <c r="C20" s="434">
        <v>45118</v>
      </c>
      <c r="D20" s="520">
        <v>2023071200022</v>
      </c>
      <c r="E20" s="569" t="s">
        <v>454</v>
      </c>
      <c r="F20" s="524" t="s">
        <v>807</v>
      </c>
      <c r="G20" s="524" t="s">
        <v>808</v>
      </c>
      <c r="H20" s="577">
        <v>45119</v>
      </c>
      <c r="I20" s="141" t="s">
        <v>598</v>
      </c>
      <c r="J20" s="101" t="s">
        <v>595</v>
      </c>
      <c r="K20" s="239" t="s">
        <v>596</v>
      </c>
      <c r="L20" s="142">
        <f>9845*K20</f>
        <v>9845</v>
      </c>
    </row>
    <row r="21" spans="1:12" s="10" customFormat="1" ht="50.1" customHeight="1" thickBot="1" x14ac:dyDescent="0.3">
      <c r="A21" s="442"/>
      <c r="B21" s="573"/>
      <c r="C21" s="435"/>
      <c r="D21" s="521"/>
      <c r="E21" s="539"/>
      <c r="F21" s="525"/>
      <c r="G21" s="525"/>
      <c r="H21" s="583"/>
      <c r="I21" s="143" t="s">
        <v>599</v>
      </c>
      <c r="J21" s="44" t="s">
        <v>597</v>
      </c>
      <c r="K21" s="243" t="s">
        <v>596</v>
      </c>
      <c r="L21" s="144">
        <f>750*K21</f>
        <v>750</v>
      </c>
    </row>
    <row r="22" spans="1:12" s="10" customFormat="1" ht="21.6" thickBot="1" x14ac:dyDescent="0.3">
      <c r="A22" s="442"/>
      <c r="B22" s="584" t="s">
        <v>844</v>
      </c>
      <c r="C22" s="585"/>
      <c r="D22" s="585"/>
      <c r="E22" s="585"/>
      <c r="F22" s="585"/>
      <c r="G22" s="585"/>
      <c r="H22" s="586"/>
      <c r="I22" s="260" t="s">
        <v>845</v>
      </c>
      <c r="J22" s="263" t="s">
        <v>595</v>
      </c>
      <c r="K22" s="264">
        <f>SUM(K20+K18+K16+K14+K12+K10+K8+K6+K4)</f>
        <v>9</v>
      </c>
      <c r="L22" s="285">
        <f>SUM(L4+L6+L8+L10+L12+L14+L16+L18+L20)</f>
        <v>88605</v>
      </c>
    </row>
    <row r="23" spans="1:12" s="10" customFormat="1" ht="21.6" thickBot="1" x14ac:dyDescent="0.3">
      <c r="A23" s="442"/>
      <c r="B23" s="506"/>
      <c r="C23" s="507"/>
      <c r="D23" s="507"/>
      <c r="E23" s="507"/>
      <c r="F23" s="507"/>
      <c r="G23" s="507"/>
      <c r="H23" s="508"/>
      <c r="I23" s="260" t="s">
        <v>599</v>
      </c>
      <c r="J23" s="263" t="s">
        <v>597</v>
      </c>
      <c r="K23" s="264">
        <f>SUM(K21+K19+K17+K15+K13+K11+K9+K7+K5)</f>
        <v>9</v>
      </c>
      <c r="L23" s="285">
        <f>SUM(L5+L7+L9+L11+L13+L15+L17+L19+L21)</f>
        <v>6750</v>
      </c>
    </row>
    <row r="24" spans="1:12" s="10" customFormat="1" ht="21.6" thickBot="1" x14ac:dyDescent="0.3">
      <c r="A24" s="571"/>
      <c r="B24" s="587"/>
      <c r="C24" s="552"/>
      <c r="D24" s="552"/>
      <c r="E24" s="552"/>
      <c r="F24" s="552"/>
      <c r="G24" s="552"/>
      <c r="H24" s="553"/>
      <c r="I24" s="580" t="s">
        <v>847</v>
      </c>
      <c r="J24" s="581"/>
      <c r="K24" s="582"/>
      <c r="L24" s="285">
        <f>SUM(L4:L21)</f>
        <v>95355</v>
      </c>
    </row>
    <row r="25" spans="1:12" ht="100.05" customHeight="1" thickBot="1" x14ac:dyDescent="0.3">
      <c r="A25" s="284">
        <v>2</v>
      </c>
      <c r="B25" s="256">
        <v>1</v>
      </c>
      <c r="C25" s="100">
        <v>45130</v>
      </c>
      <c r="D25" s="165">
        <v>2023080100001</v>
      </c>
      <c r="E25" s="168" t="s">
        <v>454</v>
      </c>
      <c r="F25" s="99" t="s">
        <v>831</v>
      </c>
      <c r="G25" s="99" t="s">
        <v>832</v>
      </c>
      <c r="H25" s="146">
        <v>45132</v>
      </c>
      <c r="I25" s="169" t="s">
        <v>840</v>
      </c>
      <c r="J25" s="96" t="s">
        <v>841</v>
      </c>
      <c r="K25" s="229">
        <v>1</v>
      </c>
      <c r="L25" s="166">
        <f>4331*1</f>
        <v>4331</v>
      </c>
    </row>
    <row r="26" spans="1:12" s="10" customFormat="1" ht="50.1" customHeight="1" x14ac:dyDescent="0.25">
      <c r="A26" s="554">
        <v>3</v>
      </c>
      <c r="B26" s="572">
        <v>1</v>
      </c>
      <c r="C26" s="528">
        <v>45118</v>
      </c>
      <c r="D26" s="520">
        <v>2023071200023</v>
      </c>
      <c r="E26" s="569" t="s">
        <v>454</v>
      </c>
      <c r="F26" s="524" t="s">
        <v>824</v>
      </c>
      <c r="G26" s="524" t="s">
        <v>825</v>
      </c>
      <c r="H26" s="577">
        <v>45119</v>
      </c>
      <c r="I26" s="141" t="s">
        <v>598</v>
      </c>
      <c r="J26" s="101" t="s">
        <v>595</v>
      </c>
      <c r="K26" s="239" t="s">
        <v>596</v>
      </c>
      <c r="L26" s="142">
        <f>9845*K26</f>
        <v>9845</v>
      </c>
    </row>
    <row r="27" spans="1:12" s="10" customFormat="1" ht="50.1" customHeight="1" thickBot="1" x14ac:dyDescent="0.3">
      <c r="A27" s="555"/>
      <c r="B27" s="573"/>
      <c r="C27" s="529"/>
      <c r="D27" s="521">
        <v>2023071200023</v>
      </c>
      <c r="E27" s="539" t="s">
        <v>454</v>
      </c>
      <c r="F27" s="525" t="s">
        <v>824</v>
      </c>
      <c r="G27" s="525" t="s">
        <v>825</v>
      </c>
      <c r="H27" s="583"/>
      <c r="I27" s="143" t="s">
        <v>599</v>
      </c>
      <c r="J27" s="44" t="s">
        <v>597</v>
      </c>
      <c r="K27" s="243" t="s">
        <v>596</v>
      </c>
      <c r="L27" s="144">
        <f>750*K27</f>
        <v>750</v>
      </c>
    </row>
    <row r="28" spans="1:12" s="10" customFormat="1" ht="100.05" customHeight="1" thickBot="1" x14ac:dyDescent="0.3">
      <c r="A28" s="284">
        <v>4</v>
      </c>
      <c r="B28" s="256">
        <v>1</v>
      </c>
      <c r="C28" s="164">
        <v>45118</v>
      </c>
      <c r="D28" s="165">
        <v>2023071200011</v>
      </c>
      <c r="E28" s="250" t="s">
        <v>821</v>
      </c>
      <c r="F28" s="99" t="s">
        <v>822</v>
      </c>
      <c r="G28" s="99" t="s">
        <v>823</v>
      </c>
      <c r="H28" s="164">
        <v>45119</v>
      </c>
      <c r="I28" s="143" t="s">
        <v>839</v>
      </c>
      <c r="J28" s="164" t="s">
        <v>835</v>
      </c>
      <c r="K28" s="243">
        <v>3</v>
      </c>
      <c r="L28" s="166">
        <v>708</v>
      </c>
    </row>
    <row r="29" spans="1:12" s="10" customFormat="1" ht="49.8" customHeight="1" x14ac:dyDescent="0.25">
      <c r="A29" s="554">
        <v>5</v>
      </c>
      <c r="B29" s="572">
        <v>1</v>
      </c>
      <c r="C29" s="434">
        <v>45119</v>
      </c>
      <c r="D29" s="520">
        <v>2023071200006</v>
      </c>
      <c r="E29" s="569" t="s">
        <v>454</v>
      </c>
      <c r="F29" s="524" t="s">
        <v>818</v>
      </c>
      <c r="G29" s="524" t="s">
        <v>819</v>
      </c>
      <c r="H29" s="577">
        <v>45119</v>
      </c>
      <c r="I29" s="141" t="s">
        <v>598</v>
      </c>
      <c r="J29" s="101" t="s">
        <v>595</v>
      </c>
      <c r="K29" s="239" t="s">
        <v>596</v>
      </c>
      <c r="L29" s="142">
        <f>9845*K29</f>
        <v>9845</v>
      </c>
    </row>
    <row r="30" spans="1:12" s="10" customFormat="1" ht="50.1" customHeight="1" thickBot="1" x14ac:dyDescent="0.3">
      <c r="A30" s="555"/>
      <c r="B30" s="573"/>
      <c r="C30" s="435"/>
      <c r="D30" s="521">
        <v>2023071200006</v>
      </c>
      <c r="E30" s="539" t="s">
        <v>454</v>
      </c>
      <c r="F30" s="525" t="s">
        <v>818</v>
      </c>
      <c r="G30" s="525" t="s">
        <v>819</v>
      </c>
      <c r="H30" s="583"/>
      <c r="I30" s="143" t="s">
        <v>599</v>
      </c>
      <c r="J30" s="44" t="s">
        <v>597</v>
      </c>
      <c r="K30" s="243" t="s">
        <v>596</v>
      </c>
      <c r="L30" s="144">
        <f>750*K30</f>
        <v>750</v>
      </c>
    </row>
    <row r="31" spans="1:12" s="10" customFormat="1" ht="49.8" customHeight="1" thickBot="1" x14ac:dyDescent="0.3">
      <c r="A31" s="562"/>
      <c r="B31" s="563"/>
      <c r="C31" s="563"/>
      <c r="D31" s="563"/>
      <c r="E31" s="563"/>
      <c r="F31" s="563"/>
      <c r="G31" s="563"/>
      <c r="H31" s="564"/>
      <c r="I31" s="565" t="s">
        <v>848</v>
      </c>
      <c r="J31" s="566"/>
      <c r="K31" s="567"/>
      <c r="L31" s="286">
        <f>SUM(L25:L30)+L24</f>
        <v>121584</v>
      </c>
    </row>
  </sheetData>
  <autoFilter ref="A3:L31" xr:uid="{00000000-0009-0000-0000-000010000000}"/>
  <mergeCells count="87">
    <mergeCell ref="F29:F30"/>
    <mergeCell ref="G29:G30"/>
    <mergeCell ref="H29:H30"/>
    <mergeCell ref="I31:K31"/>
    <mergeCell ref="A31:H31"/>
    <mergeCell ref="A29:A30"/>
    <mergeCell ref="B29:B30"/>
    <mergeCell ref="C29:C30"/>
    <mergeCell ref="D29:D30"/>
    <mergeCell ref="E29:E30"/>
    <mergeCell ref="B22:H24"/>
    <mergeCell ref="I24:K24"/>
    <mergeCell ref="B4:B5"/>
    <mergeCell ref="H4:H5"/>
    <mergeCell ref="C6:C7"/>
    <mergeCell ref="D6:D7"/>
    <mergeCell ref="E6:E7"/>
    <mergeCell ref="F6:F7"/>
    <mergeCell ref="G6:G7"/>
    <mergeCell ref="H6:H7"/>
    <mergeCell ref="C4:C5"/>
    <mergeCell ref="D4:D5"/>
    <mergeCell ref="E4:E5"/>
    <mergeCell ref="F4:F5"/>
    <mergeCell ref="G4:G5"/>
    <mergeCell ref="B6:B7"/>
    <mergeCell ref="A26:A27"/>
    <mergeCell ref="C26:C27"/>
    <mergeCell ref="D26:D27"/>
    <mergeCell ref="E26:E27"/>
    <mergeCell ref="F26:F27"/>
    <mergeCell ref="G26:G27"/>
    <mergeCell ref="H26:H27"/>
    <mergeCell ref="B26:B27"/>
    <mergeCell ref="C8:C9"/>
    <mergeCell ref="D8:D9"/>
    <mergeCell ref="E8:E9"/>
    <mergeCell ref="F8:F9"/>
    <mergeCell ref="G8:G9"/>
    <mergeCell ref="B16:B17"/>
    <mergeCell ref="H16:H17"/>
    <mergeCell ref="C10:C11"/>
    <mergeCell ref="D10:D11"/>
    <mergeCell ref="E10:E11"/>
    <mergeCell ref="F10:F11"/>
    <mergeCell ref="G10:G11"/>
    <mergeCell ref="H10:H11"/>
    <mergeCell ref="E12:E13"/>
    <mergeCell ref="G18:G19"/>
    <mergeCell ref="H18:H19"/>
    <mergeCell ref="C16:C17"/>
    <mergeCell ref="D16:D17"/>
    <mergeCell ref="E16:E17"/>
    <mergeCell ref="F16:F17"/>
    <mergeCell ref="G16:G17"/>
    <mergeCell ref="C20:C21"/>
    <mergeCell ref="B18:B19"/>
    <mergeCell ref="A4:A24"/>
    <mergeCell ref="H20:H21"/>
    <mergeCell ref="C18:C19"/>
    <mergeCell ref="D18:D19"/>
    <mergeCell ref="E18:E19"/>
    <mergeCell ref="D20:D21"/>
    <mergeCell ref="E20:E21"/>
    <mergeCell ref="F20:F21"/>
    <mergeCell ref="G20:G21"/>
    <mergeCell ref="B20:B21"/>
    <mergeCell ref="F18:F19"/>
    <mergeCell ref="B8:B9"/>
    <mergeCell ref="C12:C13"/>
    <mergeCell ref="D12:D13"/>
    <mergeCell ref="A1:L1"/>
    <mergeCell ref="A2:F2"/>
    <mergeCell ref="G2:L2"/>
    <mergeCell ref="C14:C15"/>
    <mergeCell ref="D14:D15"/>
    <mergeCell ref="E14:E15"/>
    <mergeCell ref="F14:F15"/>
    <mergeCell ref="G14:G15"/>
    <mergeCell ref="H14:H15"/>
    <mergeCell ref="B10:B11"/>
    <mergeCell ref="B14:B15"/>
    <mergeCell ref="B12:B13"/>
    <mergeCell ref="H8:H9"/>
    <mergeCell ref="F12:F13"/>
    <mergeCell ref="G12:G13"/>
    <mergeCell ref="H12:H13"/>
  </mergeCells>
  <phoneticPr fontId="4" type="noConversion"/>
  <printOptions horizontalCentered="1"/>
  <pageMargins left="0.23622047244094491" right="0.23622047244094491" top="0.59055118110236227" bottom="0.74803149606299213" header="0.31496062992125984" footer="0.31496062992125984"/>
  <pageSetup paperSize="9" scale="45" fitToHeight="0" orientation="landscape" r:id="rId1"/>
  <headerFooter>
    <oddFooter>第 &amp;P 頁，共 &amp;N 頁</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L7"/>
  <sheetViews>
    <sheetView view="pageBreakPreview" zoomScale="55" zoomScaleNormal="40" zoomScaleSheetLayoutView="55" workbookViewId="0">
      <pane ySplit="1" topLeftCell="A2" activePane="bottomLeft" state="frozen"/>
      <selection pane="bottomLeft" activeCell="H7" sqref="H7:J7"/>
    </sheetView>
  </sheetViews>
  <sheetFormatPr defaultColWidth="14.44140625" defaultRowHeight="15.75" customHeight="1" x14ac:dyDescent="0.25"/>
  <cols>
    <col min="1" max="1" width="8.33203125" bestFit="1" customWidth="1"/>
    <col min="2" max="2" width="30" bestFit="1" customWidth="1"/>
    <col min="3" max="3" width="30.21875" style="1" bestFit="1" customWidth="1"/>
    <col min="4" max="5" width="25.6640625" customWidth="1"/>
    <col min="6" max="6" width="80.6640625" style="53" customWidth="1"/>
    <col min="7" max="7" width="25.6640625" customWidth="1"/>
    <col min="8" max="8" width="24.5546875" style="53" customWidth="1"/>
    <col min="9" max="9" width="10.77734375" style="1" customWidth="1"/>
    <col min="10" max="10" width="14.109375" style="1" customWidth="1"/>
    <col min="11" max="11" width="30.6640625" style="12" customWidth="1"/>
    <col min="15" max="15" width="18.77734375" bestFit="1" customWidth="1"/>
  </cols>
  <sheetData>
    <row r="1" spans="1:12" ht="50.1" customHeight="1" thickBot="1" x14ac:dyDescent="0.3">
      <c r="A1" s="384" t="s">
        <v>11</v>
      </c>
      <c r="B1" s="385"/>
      <c r="C1" s="385"/>
      <c r="D1" s="385"/>
      <c r="E1" s="385"/>
      <c r="F1" s="385"/>
      <c r="G1" s="385"/>
      <c r="H1" s="385"/>
      <c r="I1" s="385"/>
      <c r="J1" s="385"/>
      <c r="K1" s="386"/>
    </row>
    <row r="2" spans="1:12" s="8" customFormat="1" ht="50.1" customHeight="1" thickBot="1" x14ac:dyDescent="0.35">
      <c r="A2" s="533" t="s">
        <v>12</v>
      </c>
      <c r="B2" s="535"/>
      <c r="C2" s="535"/>
      <c r="D2" s="535"/>
      <c r="E2" s="535"/>
      <c r="F2" s="536" t="s">
        <v>801</v>
      </c>
      <c r="G2" s="536"/>
      <c r="H2" s="536"/>
      <c r="I2" s="537"/>
      <c r="J2" s="537"/>
      <c r="K2" s="538"/>
    </row>
    <row r="3" spans="1:12" s="10" customFormat="1" ht="50.1" customHeight="1" x14ac:dyDescent="0.25">
      <c r="A3" s="159" t="s">
        <v>23</v>
      </c>
      <c r="B3" s="160" t="s">
        <v>224</v>
      </c>
      <c r="C3" s="161" t="s">
        <v>22</v>
      </c>
      <c r="D3" s="162" t="s">
        <v>0</v>
      </c>
      <c r="E3" s="162" t="s">
        <v>2</v>
      </c>
      <c r="F3" s="162" t="s">
        <v>19</v>
      </c>
      <c r="G3" s="160" t="s">
        <v>1</v>
      </c>
      <c r="H3" s="160" t="s">
        <v>15</v>
      </c>
      <c r="I3" s="160" t="s">
        <v>592</v>
      </c>
      <c r="J3" s="160" t="s">
        <v>591</v>
      </c>
      <c r="K3" s="163" t="s">
        <v>804</v>
      </c>
    </row>
    <row r="4" spans="1:12" ht="40.049999999999997" customHeight="1" x14ac:dyDescent="0.25">
      <c r="A4" s="392">
        <v>1</v>
      </c>
      <c r="B4" s="382">
        <v>45078</v>
      </c>
      <c r="C4" s="380">
        <v>2023061300012</v>
      </c>
      <c r="D4" s="397" t="s">
        <v>454</v>
      </c>
      <c r="E4" s="397" t="s">
        <v>802</v>
      </c>
      <c r="F4" s="398" t="s">
        <v>803</v>
      </c>
      <c r="G4" s="578">
        <v>45078</v>
      </c>
      <c r="H4" s="133" t="s">
        <v>598</v>
      </c>
      <c r="I4" s="39" t="s">
        <v>595</v>
      </c>
      <c r="J4" s="21" t="s">
        <v>596</v>
      </c>
      <c r="K4" s="134">
        <f>9845*J4</f>
        <v>9845</v>
      </c>
    </row>
    <row r="5" spans="1:12" ht="40.049999999999997" customHeight="1" thickBot="1" x14ac:dyDescent="0.3">
      <c r="A5" s="594"/>
      <c r="B5" s="435"/>
      <c r="C5" s="448"/>
      <c r="D5" s="595"/>
      <c r="E5" s="595"/>
      <c r="F5" s="593"/>
      <c r="G5" s="583"/>
      <c r="H5" s="143" t="s">
        <v>599</v>
      </c>
      <c r="I5" s="44" t="s">
        <v>597</v>
      </c>
      <c r="J5" s="243" t="s">
        <v>596</v>
      </c>
      <c r="K5" s="144">
        <f>750*J5</f>
        <v>750</v>
      </c>
    </row>
    <row r="6" spans="1:12" ht="34.950000000000003" customHeight="1" thickBot="1" x14ac:dyDescent="0.3">
      <c r="A6" s="591"/>
      <c r="B6" s="592"/>
      <c r="C6" s="592"/>
      <c r="D6" s="592"/>
      <c r="E6" s="592"/>
      <c r="F6" s="592"/>
      <c r="G6" s="592"/>
      <c r="H6" s="588" t="s">
        <v>846</v>
      </c>
      <c r="I6" s="589"/>
      <c r="J6" s="590"/>
      <c r="K6" s="283">
        <f>K4+K5</f>
        <v>10595</v>
      </c>
      <c r="L6" s="1"/>
    </row>
    <row r="7" spans="1:12" ht="34.950000000000003" customHeight="1" thickBot="1" x14ac:dyDescent="0.3">
      <c r="A7" s="591"/>
      <c r="B7" s="592"/>
      <c r="C7" s="592"/>
      <c r="D7" s="592"/>
      <c r="E7" s="592"/>
      <c r="F7" s="592"/>
      <c r="G7" s="592"/>
      <c r="H7" s="588" t="s">
        <v>805</v>
      </c>
      <c r="I7" s="589"/>
      <c r="J7" s="590"/>
      <c r="K7" s="283">
        <f>K4+K5</f>
        <v>10595</v>
      </c>
      <c r="L7" s="1"/>
    </row>
  </sheetData>
  <autoFilter ref="A3:K5" xr:uid="{00000000-0009-0000-0000-000011000000}"/>
  <mergeCells count="14">
    <mergeCell ref="H7:J7"/>
    <mergeCell ref="A7:G7"/>
    <mergeCell ref="F4:F5"/>
    <mergeCell ref="G4:G5"/>
    <mergeCell ref="A1:K1"/>
    <mergeCell ref="A2:E2"/>
    <mergeCell ref="F2:K2"/>
    <mergeCell ref="A4:A5"/>
    <mergeCell ref="B4:B5"/>
    <mergeCell ref="C4:C5"/>
    <mergeCell ref="D4:D5"/>
    <mergeCell ref="E4:E5"/>
    <mergeCell ref="A6:G6"/>
    <mergeCell ref="H6:J6"/>
  </mergeCells>
  <phoneticPr fontId="4" type="noConversion"/>
  <printOptions horizontalCentered="1"/>
  <pageMargins left="0.23622047244094491" right="0.23622047244094491" top="0.59055118110236227" bottom="0.74803149606299213" header="0.31496062992125984" footer="0.31496062992125984"/>
  <pageSetup paperSize="9" scale="47" fitToHeight="0" orientation="landscape" r:id="rId1"/>
  <headerFooter>
    <oddFooter>第 &amp;P 頁，共 &amp;N 頁</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P229"/>
  <sheetViews>
    <sheetView view="pageBreakPreview" zoomScale="40" zoomScaleNormal="40" zoomScaleSheetLayoutView="40" workbookViewId="0">
      <pane ySplit="1" topLeftCell="A200" activePane="bottomLeft" state="frozen"/>
      <selection pane="bottomLeft" activeCell="B212" sqref="B212:B215"/>
    </sheetView>
  </sheetViews>
  <sheetFormatPr defaultColWidth="14.44140625" defaultRowHeight="15.75" customHeight="1" x14ac:dyDescent="0.25"/>
  <cols>
    <col min="1" max="1" width="8.33203125" bestFit="1" customWidth="1"/>
    <col min="2" max="2" width="8.33203125" customWidth="1"/>
    <col min="3" max="3" width="30" bestFit="1" customWidth="1"/>
    <col min="4" max="4" width="30.21875" style="1" bestFit="1" customWidth="1"/>
    <col min="5" max="6" width="25.66406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 min="16" max="16" width="18.77734375" bestFit="1" customWidth="1"/>
  </cols>
  <sheetData>
    <row r="1" spans="1:16" ht="50.1" customHeight="1" thickBot="1" x14ac:dyDescent="0.3">
      <c r="A1" s="614" t="s">
        <v>11</v>
      </c>
      <c r="B1" s="614"/>
      <c r="C1" s="614"/>
      <c r="D1" s="614"/>
      <c r="E1" s="614"/>
      <c r="F1" s="614"/>
      <c r="G1" s="614"/>
      <c r="H1" s="614"/>
      <c r="I1" s="614"/>
      <c r="J1" s="614"/>
      <c r="K1" s="614"/>
      <c r="L1" s="614"/>
    </row>
    <row r="2" spans="1:16" s="8" customFormat="1" ht="50.1" customHeight="1" thickBot="1" x14ac:dyDescent="0.35">
      <c r="A2" s="533" t="s">
        <v>12</v>
      </c>
      <c r="B2" s="534"/>
      <c r="C2" s="535"/>
      <c r="D2" s="535"/>
      <c r="E2" s="535"/>
      <c r="F2" s="535"/>
      <c r="G2" s="536" t="s">
        <v>685</v>
      </c>
      <c r="H2" s="536"/>
      <c r="I2" s="536"/>
      <c r="J2" s="537"/>
      <c r="K2" s="537"/>
      <c r="L2" s="538"/>
    </row>
    <row r="3" spans="1:16" s="10" customFormat="1" ht="50.1" customHeight="1" thickBot="1" x14ac:dyDescent="0.3">
      <c r="A3" s="159" t="s">
        <v>23</v>
      </c>
      <c r="B3" s="162" t="s">
        <v>653</v>
      </c>
      <c r="C3" s="160" t="s">
        <v>224</v>
      </c>
      <c r="D3" s="161" t="s">
        <v>22</v>
      </c>
      <c r="E3" s="162" t="s">
        <v>0</v>
      </c>
      <c r="F3" s="162" t="s">
        <v>2</v>
      </c>
      <c r="G3" s="162" t="s">
        <v>19</v>
      </c>
      <c r="H3" s="160" t="s">
        <v>1</v>
      </c>
      <c r="I3" s="160" t="s">
        <v>15</v>
      </c>
      <c r="J3" s="160" t="s">
        <v>592</v>
      </c>
      <c r="K3" s="160" t="s">
        <v>591</v>
      </c>
      <c r="L3" s="163" t="s">
        <v>16</v>
      </c>
    </row>
    <row r="4" spans="1:16" s="10" customFormat="1" ht="79.95" customHeight="1" thickBot="1" x14ac:dyDescent="0.3">
      <c r="A4" s="254">
        <v>1</v>
      </c>
      <c r="B4" s="253">
        <v>1</v>
      </c>
      <c r="C4" s="100">
        <v>45048</v>
      </c>
      <c r="D4" s="165">
        <v>2023050400005</v>
      </c>
      <c r="E4" s="250" t="s">
        <v>386</v>
      </c>
      <c r="F4" s="99" t="s">
        <v>686</v>
      </c>
      <c r="G4" s="99" t="s">
        <v>687</v>
      </c>
      <c r="H4" s="100">
        <v>45050</v>
      </c>
      <c r="I4" s="169" t="s">
        <v>692</v>
      </c>
      <c r="J4" s="96" t="s">
        <v>693</v>
      </c>
      <c r="K4" s="229">
        <v>1</v>
      </c>
      <c r="L4" s="166">
        <f>551*K4</f>
        <v>551</v>
      </c>
      <c r="N4" s="169" t="s">
        <v>692</v>
      </c>
      <c r="O4" s="96" t="s">
        <v>600</v>
      </c>
      <c r="P4" s="229">
        <v>1</v>
      </c>
    </row>
    <row r="5" spans="1:16" s="10" customFormat="1" ht="79.95" customHeight="1" thickBot="1" x14ac:dyDescent="0.3">
      <c r="A5" s="255">
        <v>2</v>
      </c>
      <c r="B5" s="256">
        <v>1</v>
      </c>
      <c r="C5" s="100">
        <v>45054</v>
      </c>
      <c r="D5" s="165">
        <v>2023050800005</v>
      </c>
      <c r="E5" s="168" t="s">
        <v>454</v>
      </c>
      <c r="F5" s="99" t="s">
        <v>688</v>
      </c>
      <c r="G5" s="99" t="s">
        <v>689</v>
      </c>
      <c r="H5" s="100">
        <v>45056</v>
      </c>
      <c r="I5" s="169" t="s">
        <v>694</v>
      </c>
      <c r="J5" s="96" t="s">
        <v>693</v>
      </c>
      <c r="K5" s="229">
        <v>1</v>
      </c>
      <c r="L5" s="166">
        <f>354*K5</f>
        <v>354</v>
      </c>
      <c r="N5" s="260" t="s">
        <v>628</v>
      </c>
      <c r="O5" s="263" t="s">
        <v>600</v>
      </c>
      <c r="P5" s="264">
        <f>K5+K56+K111+K208</f>
        <v>5</v>
      </c>
    </row>
    <row r="6" spans="1:16" s="10" customFormat="1" ht="79.95" customHeight="1" thickBot="1" x14ac:dyDescent="0.3">
      <c r="A6" s="254">
        <v>3</v>
      </c>
      <c r="B6" s="253">
        <v>1</v>
      </c>
      <c r="C6" s="100">
        <v>45054</v>
      </c>
      <c r="D6" s="165">
        <v>2023050800004</v>
      </c>
      <c r="E6" s="168" t="s">
        <v>454</v>
      </c>
      <c r="F6" s="99" t="s">
        <v>690</v>
      </c>
      <c r="G6" s="99" t="s">
        <v>691</v>
      </c>
      <c r="H6" s="100">
        <v>45056</v>
      </c>
      <c r="I6" s="169" t="s">
        <v>695</v>
      </c>
      <c r="J6" s="96" t="s">
        <v>696</v>
      </c>
      <c r="K6" s="229">
        <v>2</v>
      </c>
      <c r="L6" s="166">
        <f>132*K6</f>
        <v>264</v>
      </c>
      <c r="N6" s="260" t="s">
        <v>695</v>
      </c>
      <c r="O6" s="263" t="s">
        <v>621</v>
      </c>
      <c r="P6" s="264">
        <f>K6+K58+K114</f>
        <v>13</v>
      </c>
    </row>
    <row r="7" spans="1:16" ht="40.049999999999997" customHeight="1" x14ac:dyDescent="0.25">
      <c r="A7" s="617">
        <v>4</v>
      </c>
      <c r="B7" s="611">
        <v>1</v>
      </c>
      <c r="C7" s="413">
        <v>45072</v>
      </c>
      <c r="D7" s="415">
        <v>2023050500001</v>
      </c>
      <c r="E7" s="464" t="s">
        <v>454</v>
      </c>
      <c r="F7" s="492" t="s">
        <v>697</v>
      </c>
      <c r="G7" s="493" t="s">
        <v>698</v>
      </c>
      <c r="H7" s="575">
        <v>45075</v>
      </c>
      <c r="I7" s="180" t="s">
        <v>699</v>
      </c>
      <c r="J7" s="221" t="s">
        <v>704</v>
      </c>
      <c r="K7" s="187">
        <v>100</v>
      </c>
      <c r="L7" s="204">
        <f>47*K7</f>
        <v>4700</v>
      </c>
    </row>
    <row r="8" spans="1:16" ht="40.049999999999997" customHeight="1" x14ac:dyDescent="0.25">
      <c r="A8" s="618"/>
      <c r="B8" s="603"/>
      <c r="C8" s="382"/>
      <c r="D8" s="380"/>
      <c r="E8" s="379"/>
      <c r="F8" s="492"/>
      <c r="G8" s="383"/>
      <c r="H8" s="578"/>
      <c r="I8" s="133" t="s">
        <v>700</v>
      </c>
      <c r="J8" s="179" t="s">
        <v>704</v>
      </c>
      <c r="K8" s="22">
        <v>8</v>
      </c>
      <c r="L8" s="134">
        <f>51*K8</f>
        <v>408</v>
      </c>
    </row>
    <row r="9" spans="1:16" ht="40.049999999999997" customHeight="1" x14ac:dyDescent="0.25">
      <c r="A9" s="618"/>
      <c r="B9" s="603"/>
      <c r="C9" s="382"/>
      <c r="D9" s="380"/>
      <c r="E9" s="379"/>
      <c r="F9" s="492"/>
      <c r="G9" s="383"/>
      <c r="H9" s="578"/>
      <c r="I9" s="133" t="s">
        <v>701</v>
      </c>
      <c r="J9" s="179" t="s">
        <v>693</v>
      </c>
      <c r="K9" s="22">
        <v>1</v>
      </c>
      <c r="L9" s="134">
        <f>1500*K9</f>
        <v>1500</v>
      </c>
    </row>
    <row r="10" spans="1:16" ht="40.049999999999997" customHeight="1" x14ac:dyDescent="0.25">
      <c r="A10" s="618"/>
      <c r="B10" s="603"/>
      <c r="C10" s="382"/>
      <c r="D10" s="380"/>
      <c r="E10" s="379"/>
      <c r="F10" s="492"/>
      <c r="G10" s="383"/>
      <c r="H10" s="578"/>
      <c r="I10" s="133" t="s">
        <v>702</v>
      </c>
      <c r="J10" s="179" t="s">
        <v>705</v>
      </c>
      <c r="K10" s="22">
        <v>1</v>
      </c>
      <c r="L10" s="134">
        <f>299*K10</f>
        <v>299</v>
      </c>
    </row>
    <row r="11" spans="1:16" ht="40.049999999999997" customHeight="1" thickBot="1" x14ac:dyDescent="0.3">
      <c r="A11" s="618"/>
      <c r="B11" s="604"/>
      <c r="C11" s="435"/>
      <c r="D11" s="448"/>
      <c r="E11" s="450"/>
      <c r="F11" s="525"/>
      <c r="G11" s="433"/>
      <c r="H11" s="583"/>
      <c r="I11" s="143" t="s">
        <v>703</v>
      </c>
      <c r="J11" s="282" t="s">
        <v>696</v>
      </c>
      <c r="K11" s="243">
        <v>1</v>
      </c>
      <c r="L11" s="144">
        <f>1181*K11</f>
        <v>1181</v>
      </c>
    </row>
    <row r="12" spans="1:16" ht="40.049999999999997" customHeight="1" x14ac:dyDescent="0.25">
      <c r="A12" s="618"/>
      <c r="B12" s="611">
        <v>2</v>
      </c>
      <c r="C12" s="413">
        <v>45072</v>
      </c>
      <c r="D12" s="415">
        <v>2023050500002</v>
      </c>
      <c r="E12" s="464" t="s">
        <v>454</v>
      </c>
      <c r="F12" s="524" t="s">
        <v>706</v>
      </c>
      <c r="G12" s="493" t="s">
        <v>707</v>
      </c>
      <c r="H12" s="575">
        <v>45075</v>
      </c>
      <c r="I12" s="180" t="s">
        <v>699</v>
      </c>
      <c r="J12" s="221" t="s">
        <v>704</v>
      </c>
      <c r="K12" s="187">
        <v>104</v>
      </c>
      <c r="L12" s="204">
        <f>47*K12</f>
        <v>4888</v>
      </c>
    </row>
    <row r="13" spans="1:16" ht="40.049999999999997" customHeight="1" x14ac:dyDescent="0.25">
      <c r="A13" s="618"/>
      <c r="B13" s="603"/>
      <c r="C13" s="382"/>
      <c r="D13" s="380"/>
      <c r="E13" s="379"/>
      <c r="F13" s="492"/>
      <c r="G13" s="383"/>
      <c r="H13" s="578"/>
      <c r="I13" s="133" t="s">
        <v>700</v>
      </c>
      <c r="J13" s="179" t="s">
        <v>704</v>
      </c>
      <c r="K13" s="22">
        <v>8</v>
      </c>
      <c r="L13" s="134">
        <f>51*K13</f>
        <v>408</v>
      </c>
    </row>
    <row r="14" spans="1:16" ht="40.049999999999997" customHeight="1" x14ac:dyDescent="0.25">
      <c r="A14" s="618"/>
      <c r="B14" s="603"/>
      <c r="C14" s="382"/>
      <c r="D14" s="380"/>
      <c r="E14" s="379"/>
      <c r="F14" s="492"/>
      <c r="G14" s="383"/>
      <c r="H14" s="578"/>
      <c r="I14" s="133" t="s">
        <v>708</v>
      </c>
      <c r="J14" s="39" t="s">
        <v>595</v>
      </c>
      <c r="K14" s="21" t="s">
        <v>596</v>
      </c>
      <c r="L14" s="134">
        <f>9845*K14</f>
        <v>9845</v>
      </c>
    </row>
    <row r="15" spans="1:16" ht="40.049999999999997" customHeight="1" x14ac:dyDescent="0.25">
      <c r="A15" s="618"/>
      <c r="B15" s="603"/>
      <c r="C15" s="382"/>
      <c r="D15" s="380"/>
      <c r="E15" s="379"/>
      <c r="F15" s="492"/>
      <c r="G15" s="383"/>
      <c r="H15" s="578"/>
      <c r="I15" s="133" t="s">
        <v>709</v>
      </c>
      <c r="J15" s="39" t="s">
        <v>597</v>
      </c>
      <c r="K15" s="21" t="s">
        <v>596</v>
      </c>
      <c r="L15" s="134">
        <f>750*K15</f>
        <v>750</v>
      </c>
    </row>
    <row r="16" spans="1:16" ht="40.049999999999997" customHeight="1" x14ac:dyDescent="0.25">
      <c r="A16" s="618"/>
      <c r="B16" s="603"/>
      <c r="C16" s="382"/>
      <c r="D16" s="380"/>
      <c r="E16" s="379"/>
      <c r="F16" s="492"/>
      <c r="G16" s="383"/>
      <c r="H16" s="578"/>
      <c r="I16" s="133" t="s">
        <v>710</v>
      </c>
      <c r="J16" s="179" t="s">
        <v>693</v>
      </c>
      <c r="K16" s="22">
        <v>1</v>
      </c>
      <c r="L16" s="134">
        <f>1102*K16</f>
        <v>1102</v>
      </c>
    </row>
    <row r="17" spans="1:12" ht="40.049999999999997" customHeight="1" x14ac:dyDescent="0.25">
      <c r="A17" s="618"/>
      <c r="B17" s="603"/>
      <c r="C17" s="382"/>
      <c r="D17" s="380"/>
      <c r="E17" s="379"/>
      <c r="F17" s="492"/>
      <c r="G17" s="383"/>
      <c r="H17" s="578"/>
      <c r="I17" s="133" t="s">
        <v>711</v>
      </c>
      <c r="J17" s="179" t="s">
        <v>696</v>
      </c>
      <c r="K17" s="22">
        <v>1</v>
      </c>
      <c r="L17" s="134">
        <f>512*K17</f>
        <v>512</v>
      </c>
    </row>
    <row r="18" spans="1:12" ht="40.049999999999997" customHeight="1" thickBot="1" x14ac:dyDescent="0.3">
      <c r="A18" s="618"/>
      <c r="B18" s="606"/>
      <c r="C18" s="412"/>
      <c r="D18" s="414"/>
      <c r="E18" s="463"/>
      <c r="F18" s="525"/>
      <c r="G18" s="491"/>
      <c r="H18" s="576"/>
      <c r="I18" s="175" t="s">
        <v>695</v>
      </c>
      <c r="J18" s="178" t="s">
        <v>696</v>
      </c>
      <c r="K18" s="207">
        <v>4</v>
      </c>
      <c r="L18" s="177">
        <f>132*K18</f>
        <v>528</v>
      </c>
    </row>
    <row r="19" spans="1:12" ht="40.049999999999997" customHeight="1" x14ac:dyDescent="0.25">
      <c r="A19" s="618"/>
      <c r="B19" s="602">
        <v>3</v>
      </c>
      <c r="C19" s="434">
        <v>45072</v>
      </c>
      <c r="D19" s="447">
        <v>2023051800001</v>
      </c>
      <c r="E19" s="449" t="s">
        <v>454</v>
      </c>
      <c r="F19" s="524" t="s">
        <v>712</v>
      </c>
      <c r="G19" s="432" t="s">
        <v>713</v>
      </c>
      <c r="H19" s="577">
        <v>45075</v>
      </c>
      <c r="I19" s="141" t="s">
        <v>699</v>
      </c>
      <c r="J19" s="238" t="s">
        <v>704</v>
      </c>
      <c r="K19" s="186">
        <v>100</v>
      </c>
      <c r="L19" s="142">
        <f>47*K19</f>
        <v>4700</v>
      </c>
    </row>
    <row r="20" spans="1:12" ht="40.049999999999997" customHeight="1" x14ac:dyDescent="0.25">
      <c r="A20" s="618"/>
      <c r="B20" s="603"/>
      <c r="C20" s="382"/>
      <c r="D20" s="380"/>
      <c r="E20" s="379"/>
      <c r="F20" s="492"/>
      <c r="G20" s="383"/>
      <c r="H20" s="578"/>
      <c r="I20" s="133" t="s">
        <v>700</v>
      </c>
      <c r="J20" s="179" t="s">
        <v>704</v>
      </c>
      <c r="K20" s="22">
        <v>8</v>
      </c>
      <c r="L20" s="134">
        <f>51*K20</f>
        <v>408</v>
      </c>
    </row>
    <row r="21" spans="1:12" ht="40.049999999999997" customHeight="1" x14ac:dyDescent="0.25">
      <c r="A21" s="618"/>
      <c r="B21" s="603"/>
      <c r="C21" s="382"/>
      <c r="D21" s="380"/>
      <c r="E21" s="379"/>
      <c r="F21" s="492"/>
      <c r="G21" s="383"/>
      <c r="H21" s="578"/>
      <c r="I21" s="133" t="s">
        <v>711</v>
      </c>
      <c r="J21" s="179" t="s">
        <v>696</v>
      </c>
      <c r="K21" s="22">
        <v>1</v>
      </c>
      <c r="L21" s="134">
        <f>512*K21</f>
        <v>512</v>
      </c>
    </row>
    <row r="22" spans="1:12" ht="40.049999999999997" customHeight="1" thickBot="1" x14ac:dyDescent="0.3">
      <c r="A22" s="619"/>
      <c r="B22" s="604"/>
      <c r="C22" s="435"/>
      <c r="D22" s="448"/>
      <c r="E22" s="450"/>
      <c r="F22" s="525"/>
      <c r="G22" s="433"/>
      <c r="H22" s="583"/>
      <c r="I22" s="143" t="s">
        <v>702</v>
      </c>
      <c r="J22" s="282" t="s">
        <v>705</v>
      </c>
      <c r="K22" s="248">
        <v>1</v>
      </c>
      <c r="L22" s="144">
        <f>299*K22</f>
        <v>299</v>
      </c>
    </row>
    <row r="23" spans="1:12" ht="40.049999999999997" customHeight="1" x14ac:dyDescent="0.25">
      <c r="A23" s="617">
        <v>4</v>
      </c>
      <c r="B23" s="602">
        <v>4</v>
      </c>
      <c r="C23" s="434">
        <v>45072</v>
      </c>
      <c r="D23" s="520">
        <v>2023051800002</v>
      </c>
      <c r="E23" s="569" t="s">
        <v>454</v>
      </c>
      <c r="F23" s="524" t="s">
        <v>714</v>
      </c>
      <c r="G23" s="524" t="s">
        <v>715</v>
      </c>
      <c r="H23" s="577">
        <v>45075</v>
      </c>
      <c r="I23" s="141" t="s">
        <v>699</v>
      </c>
      <c r="J23" s="238" t="s">
        <v>704</v>
      </c>
      <c r="K23" s="186">
        <v>104</v>
      </c>
      <c r="L23" s="142">
        <f>47*K23</f>
        <v>4888</v>
      </c>
    </row>
    <row r="24" spans="1:12" ht="40.049999999999997" customHeight="1" x14ac:dyDescent="0.25">
      <c r="A24" s="618"/>
      <c r="B24" s="603"/>
      <c r="C24" s="382"/>
      <c r="D24" s="419"/>
      <c r="E24" s="475"/>
      <c r="F24" s="492"/>
      <c r="G24" s="492"/>
      <c r="H24" s="578"/>
      <c r="I24" s="133" t="s">
        <v>700</v>
      </c>
      <c r="J24" s="179" t="s">
        <v>704</v>
      </c>
      <c r="K24" s="22">
        <v>8</v>
      </c>
      <c r="L24" s="134">
        <f>51*K24</f>
        <v>408</v>
      </c>
    </row>
    <row r="25" spans="1:12" ht="40.049999999999997" customHeight="1" x14ac:dyDescent="0.25">
      <c r="A25" s="618"/>
      <c r="B25" s="603"/>
      <c r="C25" s="382"/>
      <c r="D25" s="419"/>
      <c r="E25" s="475"/>
      <c r="F25" s="492"/>
      <c r="G25" s="492"/>
      <c r="H25" s="578"/>
      <c r="I25" s="133" t="s">
        <v>708</v>
      </c>
      <c r="J25" s="39" t="s">
        <v>595</v>
      </c>
      <c r="K25" s="21" t="s">
        <v>596</v>
      </c>
      <c r="L25" s="134">
        <f>9845*K25</f>
        <v>9845</v>
      </c>
    </row>
    <row r="26" spans="1:12" ht="40.049999999999997" customHeight="1" x14ac:dyDescent="0.25">
      <c r="A26" s="618"/>
      <c r="B26" s="603"/>
      <c r="C26" s="382"/>
      <c r="D26" s="419"/>
      <c r="E26" s="475"/>
      <c r="F26" s="492"/>
      <c r="G26" s="492"/>
      <c r="H26" s="578"/>
      <c r="I26" s="133" t="s">
        <v>709</v>
      </c>
      <c r="J26" s="39" t="s">
        <v>597</v>
      </c>
      <c r="K26" s="21" t="s">
        <v>596</v>
      </c>
      <c r="L26" s="134">
        <f>750*K26</f>
        <v>750</v>
      </c>
    </row>
    <row r="27" spans="1:12" ht="40.049999999999997" customHeight="1" x14ac:dyDescent="0.25">
      <c r="A27" s="618"/>
      <c r="B27" s="603"/>
      <c r="C27" s="382"/>
      <c r="D27" s="419"/>
      <c r="E27" s="475"/>
      <c r="F27" s="492"/>
      <c r="G27" s="492"/>
      <c r="H27" s="578"/>
      <c r="I27" s="133" t="s">
        <v>710</v>
      </c>
      <c r="J27" s="179" t="s">
        <v>693</v>
      </c>
      <c r="K27" s="22">
        <v>1</v>
      </c>
      <c r="L27" s="134">
        <f>1102*K27</f>
        <v>1102</v>
      </c>
    </row>
    <row r="28" spans="1:12" ht="40.049999999999997" customHeight="1" x14ac:dyDescent="0.25">
      <c r="A28" s="618"/>
      <c r="B28" s="603"/>
      <c r="C28" s="382"/>
      <c r="D28" s="419"/>
      <c r="E28" s="475"/>
      <c r="F28" s="492"/>
      <c r="G28" s="492"/>
      <c r="H28" s="578"/>
      <c r="I28" s="133" t="s">
        <v>711</v>
      </c>
      <c r="J28" s="179" t="s">
        <v>696</v>
      </c>
      <c r="K28" s="22">
        <v>1</v>
      </c>
      <c r="L28" s="134">
        <f>512*K28</f>
        <v>512</v>
      </c>
    </row>
    <row r="29" spans="1:12" ht="40.049999999999997" customHeight="1" thickBot="1" x14ac:dyDescent="0.3">
      <c r="A29" s="618"/>
      <c r="B29" s="606"/>
      <c r="C29" s="412"/>
      <c r="D29" s="419"/>
      <c r="E29" s="475"/>
      <c r="F29" s="492"/>
      <c r="G29" s="492"/>
      <c r="H29" s="576"/>
      <c r="I29" s="175" t="s">
        <v>702</v>
      </c>
      <c r="J29" s="247" t="s">
        <v>705</v>
      </c>
      <c r="K29" s="199">
        <v>1</v>
      </c>
      <c r="L29" s="177">
        <f>299*K29</f>
        <v>299</v>
      </c>
    </row>
    <row r="30" spans="1:12" ht="40.049999999999997" customHeight="1" x14ac:dyDescent="0.25">
      <c r="A30" s="618"/>
      <c r="B30" s="602">
        <v>5</v>
      </c>
      <c r="C30" s="434">
        <v>45072</v>
      </c>
      <c r="D30" s="447">
        <v>2023051800003</v>
      </c>
      <c r="E30" s="449" t="s">
        <v>454</v>
      </c>
      <c r="F30" s="432" t="s">
        <v>716</v>
      </c>
      <c r="G30" s="432" t="s">
        <v>717</v>
      </c>
      <c r="H30" s="577">
        <v>45075</v>
      </c>
      <c r="I30" s="141" t="s">
        <v>699</v>
      </c>
      <c r="J30" s="238" t="s">
        <v>704</v>
      </c>
      <c r="K30" s="186">
        <v>104</v>
      </c>
      <c r="L30" s="142">
        <f>47*K30</f>
        <v>4888</v>
      </c>
    </row>
    <row r="31" spans="1:12" ht="40.049999999999997" customHeight="1" x14ac:dyDescent="0.25">
      <c r="A31" s="618"/>
      <c r="B31" s="603"/>
      <c r="C31" s="382"/>
      <c r="D31" s="380"/>
      <c r="E31" s="379"/>
      <c r="F31" s="383"/>
      <c r="G31" s="383"/>
      <c r="H31" s="578"/>
      <c r="I31" s="133" t="s">
        <v>700</v>
      </c>
      <c r="J31" s="179" t="s">
        <v>704</v>
      </c>
      <c r="K31" s="22">
        <v>8</v>
      </c>
      <c r="L31" s="134">
        <f>51*K31</f>
        <v>408</v>
      </c>
    </row>
    <row r="32" spans="1:12" ht="40.049999999999997" customHeight="1" x14ac:dyDescent="0.25">
      <c r="A32" s="618"/>
      <c r="B32" s="603"/>
      <c r="C32" s="382"/>
      <c r="D32" s="380"/>
      <c r="E32" s="379"/>
      <c r="F32" s="383"/>
      <c r="G32" s="383"/>
      <c r="H32" s="578"/>
      <c r="I32" s="133" t="s">
        <v>711</v>
      </c>
      <c r="J32" s="179" t="s">
        <v>696</v>
      </c>
      <c r="K32" s="22">
        <v>1</v>
      </c>
      <c r="L32" s="134">
        <f>512*K32</f>
        <v>512</v>
      </c>
    </row>
    <row r="33" spans="1:12" ht="40.049999999999997" customHeight="1" x14ac:dyDescent="0.25">
      <c r="A33" s="618"/>
      <c r="B33" s="603"/>
      <c r="C33" s="382"/>
      <c r="D33" s="380"/>
      <c r="E33" s="379"/>
      <c r="F33" s="383"/>
      <c r="G33" s="383"/>
      <c r="H33" s="578"/>
      <c r="I33" s="133" t="s">
        <v>694</v>
      </c>
      <c r="J33" s="39" t="s">
        <v>693</v>
      </c>
      <c r="K33" s="21">
        <v>1</v>
      </c>
      <c r="L33" s="134">
        <f>354*K33</f>
        <v>354</v>
      </c>
    </row>
    <row r="34" spans="1:12" ht="40.049999999999997" customHeight="1" x14ac:dyDescent="0.25">
      <c r="A34" s="618"/>
      <c r="B34" s="603"/>
      <c r="C34" s="382"/>
      <c r="D34" s="380"/>
      <c r="E34" s="379"/>
      <c r="F34" s="383"/>
      <c r="G34" s="383"/>
      <c r="H34" s="578"/>
      <c r="I34" s="133" t="s">
        <v>702</v>
      </c>
      <c r="J34" s="179" t="s">
        <v>705</v>
      </c>
      <c r="K34" s="22">
        <v>1</v>
      </c>
      <c r="L34" s="134">
        <f>299*K34</f>
        <v>299</v>
      </c>
    </row>
    <row r="35" spans="1:12" ht="40.049999999999997" customHeight="1" thickBot="1" x14ac:dyDescent="0.3">
      <c r="A35" s="618"/>
      <c r="B35" s="604"/>
      <c r="C35" s="435"/>
      <c r="D35" s="448"/>
      <c r="E35" s="450"/>
      <c r="F35" s="433"/>
      <c r="G35" s="433"/>
      <c r="H35" s="583"/>
      <c r="I35" s="143" t="s">
        <v>695</v>
      </c>
      <c r="J35" s="44" t="s">
        <v>696</v>
      </c>
      <c r="K35" s="243">
        <v>2</v>
      </c>
      <c r="L35" s="144">
        <f>132*K35</f>
        <v>264</v>
      </c>
    </row>
    <row r="36" spans="1:12" ht="40.049999999999997" customHeight="1" x14ac:dyDescent="0.25">
      <c r="A36" s="618"/>
      <c r="B36" s="602">
        <v>6</v>
      </c>
      <c r="C36" s="434">
        <v>45072</v>
      </c>
      <c r="D36" s="520">
        <v>2023051800004</v>
      </c>
      <c r="E36" s="569" t="s">
        <v>454</v>
      </c>
      <c r="F36" s="612" t="s">
        <v>718</v>
      </c>
      <c r="G36" s="612" t="s">
        <v>719</v>
      </c>
      <c r="H36" s="577">
        <v>45075</v>
      </c>
      <c r="I36" s="141" t="s">
        <v>699</v>
      </c>
      <c r="J36" s="238" t="s">
        <v>704</v>
      </c>
      <c r="K36" s="186">
        <v>104</v>
      </c>
      <c r="L36" s="142">
        <f>47*K36</f>
        <v>4888</v>
      </c>
    </row>
    <row r="37" spans="1:12" ht="40.049999999999997" customHeight="1" x14ac:dyDescent="0.25">
      <c r="A37" s="618"/>
      <c r="B37" s="603"/>
      <c r="C37" s="382"/>
      <c r="D37" s="419"/>
      <c r="E37" s="475"/>
      <c r="F37" s="474" t="s">
        <v>718</v>
      </c>
      <c r="G37" s="474" t="s">
        <v>719</v>
      </c>
      <c r="H37" s="578"/>
      <c r="I37" s="133" t="s">
        <v>700</v>
      </c>
      <c r="J37" s="179" t="s">
        <v>704</v>
      </c>
      <c r="K37" s="22">
        <v>8</v>
      </c>
      <c r="L37" s="134">
        <f>51*K37</f>
        <v>408</v>
      </c>
    </row>
    <row r="38" spans="1:12" ht="40.049999999999997" customHeight="1" thickBot="1" x14ac:dyDescent="0.3">
      <c r="A38" s="618"/>
      <c r="B38" s="606"/>
      <c r="C38" s="412"/>
      <c r="D38" s="419"/>
      <c r="E38" s="475"/>
      <c r="F38" s="474" t="s">
        <v>718</v>
      </c>
      <c r="G38" s="474" t="s">
        <v>719</v>
      </c>
      <c r="H38" s="576"/>
      <c r="I38" s="175" t="s">
        <v>711</v>
      </c>
      <c r="J38" s="247" t="s">
        <v>696</v>
      </c>
      <c r="K38" s="199">
        <v>1</v>
      </c>
      <c r="L38" s="177">
        <f>512*K38</f>
        <v>512</v>
      </c>
    </row>
    <row r="39" spans="1:12" ht="40.049999999999997" customHeight="1" x14ac:dyDescent="0.25">
      <c r="A39" s="618"/>
      <c r="B39" s="602">
        <v>7</v>
      </c>
      <c r="C39" s="434">
        <v>45072</v>
      </c>
      <c r="D39" s="520">
        <v>2023051800005</v>
      </c>
      <c r="E39" s="569" t="s">
        <v>454</v>
      </c>
      <c r="F39" s="612" t="s">
        <v>720</v>
      </c>
      <c r="G39" s="612" t="s">
        <v>722</v>
      </c>
      <c r="H39" s="577">
        <v>45075</v>
      </c>
      <c r="I39" s="141" t="s">
        <v>699</v>
      </c>
      <c r="J39" s="238" t="s">
        <v>704</v>
      </c>
      <c r="K39" s="186">
        <v>104</v>
      </c>
      <c r="L39" s="142">
        <f>47*K39</f>
        <v>4888</v>
      </c>
    </row>
    <row r="40" spans="1:12" ht="40.049999999999997" customHeight="1" x14ac:dyDescent="0.25">
      <c r="A40" s="618"/>
      <c r="B40" s="611"/>
      <c r="C40" s="413"/>
      <c r="D40" s="419"/>
      <c r="E40" s="475"/>
      <c r="F40" s="474"/>
      <c r="G40" s="474"/>
      <c r="H40" s="575"/>
      <c r="I40" s="133" t="s">
        <v>700</v>
      </c>
      <c r="J40" s="179" t="s">
        <v>704</v>
      </c>
      <c r="K40" s="22">
        <v>8</v>
      </c>
      <c r="L40" s="134">
        <f>51*K40</f>
        <v>408</v>
      </c>
    </row>
    <row r="41" spans="1:12" ht="40.049999999999997" customHeight="1" x14ac:dyDescent="0.25">
      <c r="A41" s="618"/>
      <c r="B41" s="611"/>
      <c r="C41" s="413"/>
      <c r="D41" s="419"/>
      <c r="E41" s="475"/>
      <c r="F41" s="474"/>
      <c r="G41" s="474"/>
      <c r="H41" s="575"/>
      <c r="I41" s="133" t="s">
        <v>708</v>
      </c>
      <c r="J41" s="39" t="s">
        <v>595</v>
      </c>
      <c r="K41" s="21" t="s">
        <v>596</v>
      </c>
      <c r="L41" s="134">
        <f>9845*K41</f>
        <v>9845</v>
      </c>
    </row>
    <row r="42" spans="1:12" ht="40.049999999999997" customHeight="1" x14ac:dyDescent="0.25">
      <c r="A42" s="618"/>
      <c r="B42" s="603"/>
      <c r="C42" s="382"/>
      <c r="D42" s="419"/>
      <c r="E42" s="475" t="s">
        <v>454</v>
      </c>
      <c r="F42" s="474"/>
      <c r="G42" s="474" t="s">
        <v>721</v>
      </c>
      <c r="H42" s="578"/>
      <c r="I42" s="133" t="s">
        <v>709</v>
      </c>
      <c r="J42" s="39" t="s">
        <v>597</v>
      </c>
      <c r="K42" s="21" t="s">
        <v>596</v>
      </c>
      <c r="L42" s="134">
        <f>750*K42</f>
        <v>750</v>
      </c>
    </row>
    <row r="43" spans="1:12" ht="40.049999999999997" customHeight="1" x14ac:dyDescent="0.25">
      <c r="A43" s="618"/>
      <c r="B43" s="603"/>
      <c r="C43" s="382"/>
      <c r="D43" s="419"/>
      <c r="E43" s="475" t="s">
        <v>454</v>
      </c>
      <c r="F43" s="474"/>
      <c r="G43" s="474" t="s">
        <v>721</v>
      </c>
      <c r="H43" s="578"/>
      <c r="I43" s="133" t="s">
        <v>711</v>
      </c>
      <c r="J43" s="179" t="s">
        <v>696</v>
      </c>
      <c r="K43" s="22">
        <v>1</v>
      </c>
      <c r="L43" s="134">
        <f>512*K43</f>
        <v>512</v>
      </c>
    </row>
    <row r="44" spans="1:12" ht="40.049999999999997" customHeight="1" thickBot="1" x14ac:dyDescent="0.3">
      <c r="A44" s="619"/>
      <c r="B44" s="604"/>
      <c r="C44" s="435"/>
      <c r="D44" s="521"/>
      <c r="E44" s="539" t="s">
        <v>454</v>
      </c>
      <c r="F44" s="613"/>
      <c r="G44" s="613" t="s">
        <v>721</v>
      </c>
      <c r="H44" s="583"/>
      <c r="I44" s="143" t="s">
        <v>702</v>
      </c>
      <c r="J44" s="282" t="s">
        <v>705</v>
      </c>
      <c r="K44" s="248">
        <v>1</v>
      </c>
      <c r="L44" s="144">
        <f>299*K44</f>
        <v>299</v>
      </c>
    </row>
    <row r="45" spans="1:12" s="53" customFormat="1" ht="40.049999999999997" customHeight="1" x14ac:dyDescent="0.25">
      <c r="A45" s="618">
        <v>4</v>
      </c>
      <c r="B45" s="611">
        <v>8</v>
      </c>
      <c r="C45" s="575">
        <v>45072</v>
      </c>
      <c r="D45" s="415">
        <v>2023052500010</v>
      </c>
      <c r="E45" s="464" t="s">
        <v>454</v>
      </c>
      <c r="F45" s="493" t="s">
        <v>723</v>
      </c>
      <c r="G45" s="493" t="s">
        <v>724</v>
      </c>
      <c r="H45" s="575">
        <v>45072</v>
      </c>
      <c r="I45" s="180" t="s">
        <v>699</v>
      </c>
      <c r="J45" s="221" t="s">
        <v>704</v>
      </c>
      <c r="K45" s="187">
        <v>104</v>
      </c>
      <c r="L45" s="204">
        <f>47*K45</f>
        <v>4888</v>
      </c>
    </row>
    <row r="46" spans="1:12" s="53" customFormat="1" ht="40.049999999999997" customHeight="1" x14ac:dyDescent="0.25">
      <c r="A46" s="618"/>
      <c r="B46" s="603"/>
      <c r="C46" s="578"/>
      <c r="D46" s="380"/>
      <c r="E46" s="379"/>
      <c r="F46" s="383"/>
      <c r="G46" s="383"/>
      <c r="H46" s="578"/>
      <c r="I46" s="133" t="s">
        <v>700</v>
      </c>
      <c r="J46" s="179" t="s">
        <v>704</v>
      </c>
      <c r="K46" s="22">
        <v>8</v>
      </c>
      <c r="L46" s="134">
        <f>51*K46</f>
        <v>408</v>
      </c>
    </row>
    <row r="47" spans="1:12" s="53" customFormat="1" ht="40.049999999999997" customHeight="1" x14ac:dyDescent="0.25">
      <c r="A47" s="618"/>
      <c r="B47" s="603"/>
      <c r="C47" s="578"/>
      <c r="D47" s="380"/>
      <c r="E47" s="379"/>
      <c r="F47" s="383"/>
      <c r="G47" s="383"/>
      <c r="H47" s="578"/>
      <c r="I47" s="133" t="s">
        <v>702</v>
      </c>
      <c r="J47" s="179" t="s">
        <v>705</v>
      </c>
      <c r="K47" s="22">
        <v>2</v>
      </c>
      <c r="L47" s="134">
        <f>299*K47</f>
        <v>598</v>
      </c>
    </row>
    <row r="48" spans="1:12" ht="40.049999999999997" customHeight="1" thickBot="1" x14ac:dyDescent="0.3">
      <c r="A48" s="618"/>
      <c r="B48" s="606"/>
      <c r="C48" s="576"/>
      <c r="D48" s="414"/>
      <c r="E48" s="463"/>
      <c r="F48" s="491"/>
      <c r="G48" s="491"/>
      <c r="H48" s="576"/>
      <c r="I48" s="175" t="s">
        <v>725</v>
      </c>
      <c r="J48" s="247" t="s">
        <v>726</v>
      </c>
      <c r="K48" s="199">
        <v>1</v>
      </c>
      <c r="L48" s="177">
        <f>2362*K48</f>
        <v>2362</v>
      </c>
    </row>
    <row r="49" spans="1:16" ht="30" customHeight="1" thickTop="1" x14ac:dyDescent="0.25">
      <c r="A49" s="618"/>
      <c r="B49" s="615" t="s">
        <v>843</v>
      </c>
      <c r="C49" s="615"/>
      <c r="D49" s="615"/>
      <c r="E49" s="615"/>
      <c r="F49" s="615"/>
      <c r="G49" s="615"/>
      <c r="H49" s="616"/>
      <c r="I49" s="257" t="s">
        <v>617</v>
      </c>
      <c r="J49" s="258" t="s">
        <v>704</v>
      </c>
      <c r="K49" s="259">
        <f>K7+K12+K19+K23+K30+K36+K39+K45</f>
        <v>824</v>
      </c>
      <c r="L49" s="212"/>
      <c r="N49" s="257" t="s">
        <v>617</v>
      </c>
      <c r="O49" s="258" t="s">
        <v>704</v>
      </c>
      <c r="P49" s="281">
        <f>K49+K105+K224+K153+K202</f>
        <v>4485</v>
      </c>
    </row>
    <row r="50" spans="1:16" ht="30" customHeight="1" x14ac:dyDescent="0.25">
      <c r="A50" s="618"/>
      <c r="B50" s="507"/>
      <c r="C50" s="507"/>
      <c r="D50" s="507"/>
      <c r="E50" s="507"/>
      <c r="F50" s="507"/>
      <c r="G50" s="507"/>
      <c r="H50" s="508"/>
      <c r="I50" s="260" t="s">
        <v>619</v>
      </c>
      <c r="J50" s="261" t="s">
        <v>704</v>
      </c>
      <c r="K50" s="262">
        <f>K8+K13+K20+K24+K31+K37+K40+K46</f>
        <v>64</v>
      </c>
      <c r="L50" s="198"/>
      <c r="N50" s="260" t="s">
        <v>619</v>
      </c>
      <c r="O50" s="261" t="s">
        <v>704</v>
      </c>
      <c r="P50" s="262">
        <f>K50+K106+K225+K154+K203</f>
        <v>365</v>
      </c>
    </row>
    <row r="51" spans="1:16" ht="30" customHeight="1" x14ac:dyDescent="0.25">
      <c r="A51" s="618"/>
      <c r="B51" s="507"/>
      <c r="C51" s="507"/>
      <c r="D51" s="507"/>
      <c r="E51" s="507"/>
      <c r="F51" s="507"/>
      <c r="G51" s="507"/>
      <c r="H51" s="508"/>
      <c r="I51" s="260" t="s">
        <v>598</v>
      </c>
      <c r="J51" s="263" t="s">
        <v>595</v>
      </c>
      <c r="K51" s="264">
        <f>K14+K25+K41</f>
        <v>3</v>
      </c>
      <c r="L51" s="198"/>
      <c r="N51" s="260" t="s">
        <v>598</v>
      </c>
      <c r="O51" s="263" t="s">
        <v>595</v>
      </c>
      <c r="P51" s="264">
        <f>K51+K107+K226+K155+K204</f>
        <v>10</v>
      </c>
    </row>
    <row r="52" spans="1:16" ht="30" customHeight="1" x14ac:dyDescent="0.25">
      <c r="A52" s="618"/>
      <c r="B52" s="507"/>
      <c r="C52" s="507"/>
      <c r="D52" s="507"/>
      <c r="E52" s="507"/>
      <c r="F52" s="507"/>
      <c r="G52" s="507"/>
      <c r="H52" s="508"/>
      <c r="I52" s="260" t="s">
        <v>599</v>
      </c>
      <c r="J52" s="263" t="s">
        <v>597</v>
      </c>
      <c r="K52" s="264">
        <f>K15+K26+K42</f>
        <v>3</v>
      </c>
      <c r="L52" s="198"/>
      <c r="N52" s="260" t="s">
        <v>599</v>
      </c>
      <c r="O52" s="263" t="s">
        <v>597</v>
      </c>
      <c r="P52" s="264">
        <f>K52+K108+K227+K156+K205</f>
        <v>11</v>
      </c>
    </row>
    <row r="53" spans="1:16" ht="30" customHeight="1" x14ac:dyDescent="0.25">
      <c r="A53" s="618"/>
      <c r="B53" s="507"/>
      <c r="C53" s="507"/>
      <c r="D53" s="507"/>
      <c r="E53" s="507"/>
      <c r="F53" s="507"/>
      <c r="G53" s="507"/>
      <c r="H53" s="508"/>
      <c r="I53" s="260" t="s">
        <v>701</v>
      </c>
      <c r="J53" s="261" t="s">
        <v>600</v>
      </c>
      <c r="K53" s="262">
        <f>K9</f>
        <v>1</v>
      </c>
      <c r="L53" s="198"/>
      <c r="N53" s="260" t="s">
        <v>701</v>
      </c>
      <c r="O53" s="261" t="s">
        <v>600</v>
      </c>
      <c r="P53" s="262">
        <f>K53</f>
        <v>1</v>
      </c>
    </row>
    <row r="54" spans="1:16" ht="30" customHeight="1" x14ac:dyDescent="0.25">
      <c r="A54" s="618"/>
      <c r="B54" s="507"/>
      <c r="C54" s="507"/>
      <c r="D54" s="507"/>
      <c r="E54" s="507"/>
      <c r="F54" s="507"/>
      <c r="G54" s="507"/>
      <c r="H54" s="508"/>
      <c r="I54" s="260" t="s">
        <v>624</v>
      </c>
      <c r="J54" s="261" t="s">
        <v>600</v>
      </c>
      <c r="K54" s="262">
        <f>K16+K27</f>
        <v>2</v>
      </c>
      <c r="L54" s="198"/>
      <c r="N54" s="260" t="s">
        <v>624</v>
      </c>
      <c r="O54" s="261" t="s">
        <v>600</v>
      </c>
      <c r="P54" s="262">
        <f>K54+K109+K157</f>
        <v>7</v>
      </c>
    </row>
    <row r="55" spans="1:16" ht="30" customHeight="1" x14ac:dyDescent="0.25">
      <c r="A55" s="618"/>
      <c r="B55" s="507"/>
      <c r="C55" s="507"/>
      <c r="D55" s="507"/>
      <c r="E55" s="507"/>
      <c r="F55" s="507"/>
      <c r="G55" s="507"/>
      <c r="H55" s="508"/>
      <c r="I55" s="260" t="s">
        <v>620</v>
      </c>
      <c r="J55" s="261" t="s">
        <v>621</v>
      </c>
      <c r="K55" s="262">
        <f>K17+K21+K28+K32+K38+K43</f>
        <v>6</v>
      </c>
      <c r="L55" s="198"/>
      <c r="N55" s="260" t="s">
        <v>620</v>
      </c>
      <c r="O55" s="261" t="s">
        <v>621</v>
      </c>
      <c r="P55" s="262">
        <f>K55+K110+K228+K158+K207</f>
        <v>17</v>
      </c>
    </row>
    <row r="56" spans="1:16" ht="30" customHeight="1" x14ac:dyDescent="0.25">
      <c r="A56" s="618"/>
      <c r="B56" s="507"/>
      <c r="C56" s="507"/>
      <c r="D56" s="507"/>
      <c r="E56" s="507"/>
      <c r="F56" s="507"/>
      <c r="G56" s="507"/>
      <c r="H56" s="508"/>
      <c r="I56" s="260" t="s">
        <v>628</v>
      </c>
      <c r="J56" s="263" t="s">
        <v>600</v>
      </c>
      <c r="K56" s="264">
        <f>K33</f>
        <v>1</v>
      </c>
      <c r="L56" s="198"/>
      <c r="N56" s="260"/>
      <c r="O56" s="263"/>
      <c r="P56" s="264"/>
    </row>
    <row r="57" spans="1:16" ht="30" customHeight="1" x14ac:dyDescent="0.25">
      <c r="A57" s="618"/>
      <c r="B57" s="507"/>
      <c r="C57" s="507"/>
      <c r="D57" s="507"/>
      <c r="E57" s="507"/>
      <c r="F57" s="507"/>
      <c r="G57" s="507"/>
      <c r="H57" s="508"/>
      <c r="I57" s="260" t="s">
        <v>603</v>
      </c>
      <c r="J57" s="261" t="s">
        <v>604</v>
      </c>
      <c r="K57" s="262">
        <f>K10+K22+K29+K34+K44+K47</f>
        <v>7</v>
      </c>
      <c r="L57" s="198"/>
      <c r="N57" s="260" t="s">
        <v>603</v>
      </c>
      <c r="O57" s="261" t="s">
        <v>604</v>
      </c>
      <c r="P57" s="262">
        <f>K57+K113+K159+K209</f>
        <v>32</v>
      </c>
    </row>
    <row r="58" spans="1:16" ht="30" customHeight="1" x14ac:dyDescent="0.25">
      <c r="A58" s="618"/>
      <c r="B58" s="507"/>
      <c r="C58" s="507"/>
      <c r="D58" s="507"/>
      <c r="E58" s="507"/>
      <c r="F58" s="507"/>
      <c r="G58" s="507"/>
      <c r="H58" s="508"/>
      <c r="I58" s="260" t="s">
        <v>695</v>
      </c>
      <c r="J58" s="263" t="s">
        <v>621</v>
      </c>
      <c r="K58" s="264">
        <f>K18+K35</f>
        <v>6</v>
      </c>
      <c r="L58" s="198"/>
      <c r="N58" s="260"/>
      <c r="O58" s="263"/>
      <c r="P58" s="264"/>
    </row>
    <row r="59" spans="1:16" ht="30" customHeight="1" x14ac:dyDescent="0.25">
      <c r="A59" s="618"/>
      <c r="B59" s="507"/>
      <c r="C59" s="507"/>
      <c r="D59" s="507"/>
      <c r="E59" s="507"/>
      <c r="F59" s="507"/>
      <c r="G59" s="507"/>
      <c r="H59" s="508"/>
      <c r="I59" s="260" t="s">
        <v>703</v>
      </c>
      <c r="J59" s="261" t="s">
        <v>621</v>
      </c>
      <c r="K59" s="264">
        <f>K11</f>
        <v>1</v>
      </c>
      <c r="L59" s="198"/>
      <c r="N59" s="260" t="s">
        <v>703</v>
      </c>
      <c r="O59" s="261" t="s">
        <v>621</v>
      </c>
      <c r="P59" s="264">
        <f>K59+K115+K229</f>
        <v>3</v>
      </c>
    </row>
    <row r="60" spans="1:16" ht="30" customHeight="1" thickBot="1" x14ac:dyDescent="0.3">
      <c r="A60" s="619"/>
      <c r="B60" s="507"/>
      <c r="C60" s="507"/>
      <c r="D60" s="507"/>
      <c r="E60" s="507"/>
      <c r="F60" s="507"/>
      <c r="G60" s="507"/>
      <c r="H60" s="508"/>
      <c r="I60" s="274" t="s">
        <v>725</v>
      </c>
      <c r="J60" s="275" t="s">
        <v>726</v>
      </c>
      <c r="K60" s="276">
        <f>K48</f>
        <v>1</v>
      </c>
      <c r="L60" s="198"/>
      <c r="N60" s="274" t="s">
        <v>725</v>
      </c>
      <c r="O60" s="275" t="s">
        <v>726</v>
      </c>
      <c r="P60" s="276">
        <f>K60+K116+K210</f>
        <v>4</v>
      </c>
    </row>
    <row r="61" spans="1:16" ht="40.049999999999997" customHeight="1" x14ac:dyDescent="0.25">
      <c r="A61" s="624">
        <v>5</v>
      </c>
      <c r="B61" s="554">
        <v>1</v>
      </c>
      <c r="C61" s="577">
        <v>45072</v>
      </c>
      <c r="D61" s="447">
        <v>2023052300001</v>
      </c>
      <c r="E61" s="449" t="s">
        <v>454</v>
      </c>
      <c r="F61" s="439" t="s">
        <v>727</v>
      </c>
      <c r="G61" s="439" t="s">
        <v>728</v>
      </c>
      <c r="H61" s="577">
        <v>45075</v>
      </c>
      <c r="I61" s="141" t="s">
        <v>699</v>
      </c>
      <c r="J61" s="238" t="s">
        <v>704</v>
      </c>
      <c r="K61" s="186">
        <v>120</v>
      </c>
      <c r="L61" s="142">
        <f>47*K61</f>
        <v>5640</v>
      </c>
    </row>
    <row r="62" spans="1:16" ht="40.049999999999997" customHeight="1" x14ac:dyDescent="0.25">
      <c r="A62" s="625"/>
      <c r="B62" s="452"/>
      <c r="C62" s="578"/>
      <c r="D62" s="380"/>
      <c r="E62" s="379"/>
      <c r="F62" s="378"/>
      <c r="G62" s="378"/>
      <c r="H62" s="578"/>
      <c r="I62" s="133" t="s">
        <v>700</v>
      </c>
      <c r="J62" s="179" t="s">
        <v>704</v>
      </c>
      <c r="K62" s="22">
        <v>24</v>
      </c>
      <c r="L62" s="134">
        <f>51*K62</f>
        <v>1224</v>
      </c>
    </row>
    <row r="63" spans="1:16" ht="40.049999999999997" customHeight="1" x14ac:dyDescent="0.25">
      <c r="A63" s="625"/>
      <c r="B63" s="452"/>
      <c r="C63" s="578"/>
      <c r="D63" s="380"/>
      <c r="E63" s="379"/>
      <c r="F63" s="378"/>
      <c r="G63" s="378"/>
      <c r="H63" s="578"/>
      <c r="I63" s="133" t="s">
        <v>702</v>
      </c>
      <c r="J63" s="179" t="s">
        <v>705</v>
      </c>
      <c r="K63" s="22">
        <v>1</v>
      </c>
      <c r="L63" s="134">
        <f>299*K63</f>
        <v>299</v>
      </c>
    </row>
    <row r="64" spans="1:16" ht="40.049999999999997" customHeight="1" x14ac:dyDescent="0.25">
      <c r="A64" s="625"/>
      <c r="B64" s="452"/>
      <c r="C64" s="578"/>
      <c r="D64" s="380"/>
      <c r="E64" s="379"/>
      <c r="F64" s="378"/>
      <c r="G64" s="378"/>
      <c r="H64" s="578"/>
      <c r="I64" s="133" t="s">
        <v>695</v>
      </c>
      <c r="J64" s="39" t="s">
        <v>696</v>
      </c>
      <c r="K64" s="21">
        <v>1</v>
      </c>
      <c r="L64" s="134">
        <f>132*K64</f>
        <v>132</v>
      </c>
    </row>
    <row r="65" spans="1:12" ht="40.049999999999997" customHeight="1" thickBot="1" x14ac:dyDescent="0.3">
      <c r="A65" s="625"/>
      <c r="B65" s="555"/>
      <c r="C65" s="583"/>
      <c r="D65" s="448"/>
      <c r="E65" s="450"/>
      <c r="F65" s="440"/>
      <c r="G65" s="440"/>
      <c r="H65" s="583"/>
      <c r="I65" s="143" t="s">
        <v>725</v>
      </c>
      <c r="J65" s="282" t="s">
        <v>726</v>
      </c>
      <c r="K65" s="248">
        <v>1</v>
      </c>
      <c r="L65" s="144">
        <f>2362*K65</f>
        <v>2362</v>
      </c>
    </row>
    <row r="66" spans="1:12" ht="40.049999999999997" customHeight="1" x14ac:dyDescent="0.25">
      <c r="A66" s="625"/>
      <c r="B66" s="596">
        <v>2</v>
      </c>
      <c r="C66" s="577">
        <v>45072</v>
      </c>
      <c r="D66" s="447">
        <v>2023052300006</v>
      </c>
      <c r="E66" s="449" t="s">
        <v>454</v>
      </c>
      <c r="F66" s="432" t="s">
        <v>729</v>
      </c>
      <c r="G66" s="432" t="s">
        <v>730</v>
      </c>
      <c r="H66" s="577">
        <v>45075</v>
      </c>
      <c r="I66" s="141" t="s">
        <v>699</v>
      </c>
      <c r="J66" s="238" t="s">
        <v>704</v>
      </c>
      <c r="K66" s="186">
        <v>108</v>
      </c>
      <c r="L66" s="142">
        <f>47*K66</f>
        <v>5076</v>
      </c>
    </row>
    <row r="67" spans="1:12" ht="40.049999999999997" customHeight="1" x14ac:dyDescent="0.25">
      <c r="A67" s="625"/>
      <c r="B67" s="597"/>
      <c r="C67" s="578"/>
      <c r="D67" s="380"/>
      <c r="E67" s="379"/>
      <c r="F67" s="383"/>
      <c r="G67" s="383"/>
      <c r="H67" s="578"/>
      <c r="I67" s="133" t="s">
        <v>700</v>
      </c>
      <c r="J67" s="179" t="s">
        <v>704</v>
      </c>
      <c r="K67" s="22">
        <v>8</v>
      </c>
      <c r="L67" s="134">
        <f>51*K67</f>
        <v>408</v>
      </c>
    </row>
    <row r="68" spans="1:12" ht="40.049999999999997" customHeight="1" x14ac:dyDescent="0.25">
      <c r="A68" s="625"/>
      <c r="B68" s="597"/>
      <c r="C68" s="578"/>
      <c r="D68" s="380"/>
      <c r="E68" s="379"/>
      <c r="F68" s="383"/>
      <c r="G68" s="383"/>
      <c r="H68" s="578"/>
      <c r="I68" s="133" t="s">
        <v>708</v>
      </c>
      <c r="J68" s="39" t="s">
        <v>595</v>
      </c>
      <c r="K68" s="21" t="s">
        <v>596</v>
      </c>
      <c r="L68" s="134">
        <f>9845*K68</f>
        <v>9845</v>
      </c>
    </row>
    <row r="69" spans="1:12" ht="40.049999999999997" customHeight="1" x14ac:dyDescent="0.25">
      <c r="A69" s="625"/>
      <c r="B69" s="597"/>
      <c r="C69" s="578"/>
      <c r="D69" s="380"/>
      <c r="E69" s="379"/>
      <c r="F69" s="383"/>
      <c r="G69" s="383"/>
      <c r="H69" s="578"/>
      <c r="I69" s="133" t="s">
        <v>709</v>
      </c>
      <c r="J69" s="39" t="s">
        <v>597</v>
      </c>
      <c r="K69" s="21" t="s">
        <v>596</v>
      </c>
      <c r="L69" s="134">
        <f>750*K69</f>
        <v>750</v>
      </c>
    </row>
    <row r="70" spans="1:12" ht="40.049999999999997" customHeight="1" x14ac:dyDescent="0.25">
      <c r="A70" s="625"/>
      <c r="B70" s="597"/>
      <c r="C70" s="578"/>
      <c r="D70" s="380"/>
      <c r="E70" s="379"/>
      <c r="F70" s="383"/>
      <c r="G70" s="383"/>
      <c r="H70" s="578"/>
      <c r="I70" s="133" t="s">
        <v>711</v>
      </c>
      <c r="J70" s="179" t="s">
        <v>696</v>
      </c>
      <c r="K70" s="22">
        <v>1</v>
      </c>
      <c r="L70" s="134">
        <f>512*K70</f>
        <v>512</v>
      </c>
    </row>
    <row r="71" spans="1:12" ht="40.049999999999997" customHeight="1" x14ac:dyDescent="0.25">
      <c r="A71" s="625"/>
      <c r="B71" s="597"/>
      <c r="C71" s="578"/>
      <c r="D71" s="380"/>
      <c r="E71" s="379"/>
      <c r="F71" s="383"/>
      <c r="G71" s="383"/>
      <c r="H71" s="578"/>
      <c r="I71" s="133" t="s">
        <v>702</v>
      </c>
      <c r="J71" s="179" t="s">
        <v>705</v>
      </c>
      <c r="K71" s="22">
        <v>1</v>
      </c>
      <c r="L71" s="134">
        <f>299*K71</f>
        <v>299</v>
      </c>
    </row>
    <row r="72" spans="1:12" ht="40.049999999999997" customHeight="1" thickBot="1" x14ac:dyDescent="0.3">
      <c r="A72" s="626"/>
      <c r="B72" s="598"/>
      <c r="C72" s="583"/>
      <c r="D72" s="448"/>
      <c r="E72" s="450"/>
      <c r="F72" s="433"/>
      <c r="G72" s="433"/>
      <c r="H72" s="583"/>
      <c r="I72" s="143" t="s">
        <v>725</v>
      </c>
      <c r="J72" s="282" t="s">
        <v>726</v>
      </c>
      <c r="K72" s="248">
        <v>1</v>
      </c>
      <c r="L72" s="144">
        <f>2362*K72</f>
        <v>2362</v>
      </c>
    </row>
    <row r="73" spans="1:12" ht="40.049999999999997" customHeight="1" x14ac:dyDescent="0.25">
      <c r="A73" s="624">
        <v>5</v>
      </c>
      <c r="B73" s="596">
        <v>3</v>
      </c>
      <c r="C73" s="577">
        <v>45072</v>
      </c>
      <c r="D73" s="447">
        <v>2023052300011</v>
      </c>
      <c r="E73" s="449" t="s">
        <v>454</v>
      </c>
      <c r="F73" s="432" t="s">
        <v>731</v>
      </c>
      <c r="G73" s="432" t="s">
        <v>732</v>
      </c>
      <c r="H73" s="577">
        <v>45075</v>
      </c>
      <c r="I73" s="141" t="s">
        <v>699</v>
      </c>
      <c r="J73" s="238" t="s">
        <v>704</v>
      </c>
      <c r="K73" s="186">
        <v>104</v>
      </c>
      <c r="L73" s="142">
        <f>47*K73</f>
        <v>4888</v>
      </c>
    </row>
    <row r="74" spans="1:12" ht="40.049999999999997" customHeight="1" x14ac:dyDescent="0.25">
      <c r="A74" s="625"/>
      <c r="B74" s="597"/>
      <c r="C74" s="578"/>
      <c r="D74" s="380"/>
      <c r="E74" s="379"/>
      <c r="F74" s="383"/>
      <c r="G74" s="383"/>
      <c r="H74" s="578"/>
      <c r="I74" s="133" t="s">
        <v>700</v>
      </c>
      <c r="J74" s="179" t="s">
        <v>704</v>
      </c>
      <c r="K74" s="22">
        <v>8</v>
      </c>
      <c r="L74" s="134">
        <f>51*K74</f>
        <v>408</v>
      </c>
    </row>
    <row r="75" spans="1:12" ht="40.049999999999997" customHeight="1" x14ac:dyDescent="0.25">
      <c r="A75" s="625"/>
      <c r="B75" s="597"/>
      <c r="C75" s="578"/>
      <c r="D75" s="380"/>
      <c r="E75" s="379"/>
      <c r="F75" s="383"/>
      <c r="G75" s="383"/>
      <c r="H75" s="578"/>
      <c r="I75" s="133" t="s">
        <v>710</v>
      </c>
      <c r="J75" s="179" t="s">
        <v>693</v>
      </c>
      <c r="K75" s="22">
        <v>1</v>
      </c>
      <c r="L75" s="134">
        <f>1102*K75</f>
        <v>1102</v>
      </c>
    </row>
    <row r="76" spans="1:12" ht="40.049999999999997" customHeight="1" x14ac:dyDescent="0.25">
      <c r="A76" s="625"/>
      <c r="B76" s="597"/>
      <c r="C76" s="578"/>
      <c r="D76" s="380"/>
      <c r="E76" s="379"/>
      <c r="F76" s="383"/>
      <c r="G76" s="383"/>
      <c r="H76" s="578"/>
      <c r="I76" s="133" t="s">
        <v>711</v>
      </c>
      <c r="J76" s="179" t="s">
        <v>696</v>
      </c>
      <c r="K76" s="22">
        <v>1</v>
      </c>
      <c r="L76" s="134">
        <f>512*K76</f>
        <v>512</v>
      </c>
    </row>
    <row r="77" spans="1:12" ht="40.049999999999997" customHeight="1" x14ac:dyDescent="0.25">
      <c r="A77" s="625"/>
      <c r="B77" s="597"/>
      <c r="C77" s="578"/>
      <c r="D77" s="380"/>
      <c r="E77" s="379"/>
      <c r="F77" s="383"/>
      <c r="G77" s="383"/>
      <c r="H77" s="578"/>
      <c r="I77" s="133" t="s">
        <v>694</v>
      </c>
      <c r="J77" s="39" t="s">
        <v>693</v>
      </c>
      <c r="K77" s="21">
        <v>1</v>
      </c>
      <c r="L77" s="134">
        <f>354*K77</f>
        <v>354</v>
      </c>
    </row>
    <row r="78" spans="1:12" ht="40.049999999999997" customHeight="1" thickBot="1" x14ac:dyDescent="0.3">
      <c r="A78" s="625"/>
      <c r="B78" s="605"/>
      <c r="C78" s="576"/>
      <c r="D78" s="414"/>
      <c r="E78" s="463"/>
      <c r="F78" s="491"/>
      <c r="G78" s="491"/>
      <c r="H78" s="576"/>
      <c r="I78" s="175" t="s">
        <v>695</v>
      </c>
      <c r="J78" s="178" t="s">
        <v>696</v>
      </c>
      <c r="K78" s="207">
        <v>4</v>
      </c>
      <c r="L78" s="177">
        <f>132*K78</f>
        <v>528</v>
      </c>
    </row>
    <row r="79" spans="1:12" ht="40.049999999999997" customHeight="1" x14ac:dyDescent="0.25">
      <c r="A79" s="625"/>
      <c r="B79" s="596">
        <v>4</v>
      </c>
      <c r="C79" s="577">
        <v>45072</v>
      </c>
      <c r="D79" s="447">
        <v>2023052600001</v>
      </c>
      <c r="E79" s="449" t="s">
        <v>454</v>
      </c>
      <c r="F79" s="432" t="s">
        <v>733</v>
      </c>
      <c r="G79" s="432" t="s">
        <v>734</v>
      </c>
      <c r="H79" s="577">
        <v>45075</v>
      </c>
      <c r="I79" s="141" t="s">
        <v>699</v>
      </c>
      <c r="J79" s="238" t="s">
        <v>704</v>
      </c>
      <c r="K79" s="186">
        <v>104</v>
      </c>
      <c r="L79" s="142">
        <f>47*K79</f>
        <v>4888</v>
      </c>
    </row>
    <row r="80" spans="1:12" ht="40.049999999999997" customHeight="1" x14ac:dyDescent="0.25">
      <c r="A80" s="625"/>
      <c r="B80" s="597"/>
      <c r="C80" s="578"/>
      <c r="D80" s="380"/>
      <c r="E80" s="379"/>
      <c r="F80" s="383"/>
      <c r="G80" s="383"/>
      <c r="H80" s="578"/>
      <c r="I80" s="133" t="s">
        <v>700</v>
      </c>
      <c r="J80" s="179" t="s">
        <v>704</v>
      </c>
      <c r="K80" s="22">
        <v>8</v>
      </c>
      <c r="L80" s="134">
        <f>51*K80</f>
        <v>408</v>
      </c>
    </row>
    <row r="81" spans="1:12" ht="40.049999999999997" customHeight="1" x14ac:dyDescent="0.25">
      <c r="A81" s="625"/>
      <c r="B81" s="597"/>
      <c r="C81" s="578"/>
      <c r="D81" s="380"/>
      <c r="E81" s="379"/>
      <c r="F81" s="383"/>
      <c r="G81" s="383"/>
      <c r="H81" s="578"/>
      <c r="I81" s="133" t="s">
        <v>711</v>
      </c>
      <c r="J81" s="179" t="s">
        <v>696</v>
      </c>
      <c r="K81" s="22">
        <v>1</v>
      </c>
      <c r="L81" s="134">
        <f>512*K81</f>
        <v>512</v>
      </c>
    </row>
    <row r="82" spans="1:12" ht="40.049999999999997" customHeight="1" x14ac:dyDescent="0.25">
      <c r="A82" s="625"/>
      <c r="B82" s="597"/>
      <c r="C82" s="578"/>
      <c r="D82" s="380"/>
      <c r="E82" s="379"/>
      <c r="F82" s="383"/>
      <c r="G82" s="383"/>
      <c r="H82" s="578"/>
      <c r="I82" s="133" t="s">
        <v>605</v>
      </c>
      <c r="J82" s="179" t="s">
        <v>693</v>
      </c>
      <c r="K82" s="22">
        <v>1</v>
      </c>
      <c r="L82" s="134">
        <f>1066*K82</f>
        <v>1066</v>
      </c>
    </row>
    <row r="83" spans="1:12" ht="40.049999999999997" customHeight="1" thickBot="1" x14ac:dyDescent="0.3">
      <c r="A83" s="625"/>
      <c r="B83" s="605"/>
      <c r="C83" s="576"/>
      <c r="D83" s="414"/>
      <c r="E83" s="463"/>
      <c r="F83" s="491"/>
      <c r="G83" s="491"/>
      <c r="H83" s="576"/>
      <c r="I83" s="175" t="s">
        <v>702</v>
      </c>
      <c r="J83" s="247" t="s">
        <v>705</v>
      </c>
      <c r="K83" s="199">
        <v>1</v>
      </c>
      <c r="L83" s="177">
        <f>299*K83</f>
        <v>299</v>
      </c>
    </row>
    <row r="84" spans="1:12" ht="40.049999999999997" customHeight="1" x14ac:dyDescent="0.25">
      <c r="A84" s="625"/>
      <c r="B84" s="596">
        <v>5</v>
      </c>
      <c r="C84" s="434">
        <v>45072</v>
      </c>
      <c r="D84" s="447">
        <v>2023052900011</v>
      </c>
      <c r="E84" s="449" t="s">
        <v>454</v>
      </c>
      <c r="F84" s="439" t="s">
        <v>735</v>
      </c>
      <c r="G84" s="439" t="s">
        <v>736</v>
      </c>
      <c r="H84" s="434">
        <v>45075</v>
      </c>
      <c r="I84" s="141" t="s">
        <v>699</v>
      </c>
      <c r="J84" s="238" t="s">
        <v>704</v>
      </c>
      <c r="K84" s="186">
        <v>104</v>
      </c>
      <c r="L84" s="142">
        <f>47*K84</f>
        <v>4888</v>
      </c>
    </row>
    <row r="85" spans="1:12" ht="40.049999999999997" customHeight="1" thickBot="1" x14ac:dyDescent="0.3">
      <c r="A85" s="625"/>
      <c r="B85" s="605"/>
      <c r="C85" s="412"/>
      <c r="D85" s="414"/>
      <c r="E85" s="463"/>
      <c r="F85" s="469"/>
      <c r="G85" s="469"/>
      <c r="H85" s="412"/>
      <c r="I85" s="175" t="s">
        <v>700</v>
      </c>
      <c r="J85" s="247" t="s">
        <v>704</v>
      </c>
      <c r="K85" s="199">
        <v>8</v>
      </c>
      <c r="L85" s="177">
        <f>51*K85</f>
        <v>408</v>
      </c>
    </row>
    <row r="86" spans="1:12" ht="40.049999999999997" customHeight="1" x14ac:dyDescent="0.25">
      <c r="A86" s="625"/>
      <c r="B86" s="596">
        <v>6</v>
      </c>
      <c r="C86" s="577">
        <v>45072</v>
      </c>
      <c r="D86" s="447">
        <v>2023052300012</v>
      </c>
      <c r="E86" s="449" t="s">
        <v>454</v>
      </c>
      <c r="F86" s="439" t="s">
        <v>737</v>
      </c>
      <c r="G86" s="439" t="s">
        <v>738</v>
      </c>
      <c r="H86" s="577">
        <v>45075</v>
      </c>
      <c r="I86" s="141" t="s">
        <v>699</v>
      </c>
      <c r="J86" s="238" t="s">
        <v>704</v>
      </c>
      <c r="K86" s="186">
        <v>104</v>
      </c>
      <c r="L86" s="142">
        <f>47*K86</f>
        <v>4888</v>
      </c>
    </row>
    <row r="87" spans="1:12" ht="40.049999999999997" customHeight="1" x14ac:dyDescent="0.25">
      <c r="A87" s="625"/>
      <c r="B87" s="597"/>
      <c r="C87" s="578"/>
      <c r="D87" s="380"/>
      <c r="E87" s="379"/>
      <c r="F87" s="378"/>
      <c r="G87" s="378"/>
      <c r="H87" s="578"/>
      <c r="I87" s="133" t="s">
        <v>700</v>
      </c>
      <c r="J87" s="179" t="s">
        <v>704</v>
      </c>
      <c r="K87" s="22">
        <v>8</v>
      </c>
      <c r="L87" s="134">
        <f>51*K87</f>
        <v>408</v>
      </c>
    </row>
    <row r="88" spans="1:12" ht="40.049999999999997" customHeight="1" x14ac:dyDescent="0.25">
      <c r="A88" s="625"/>
      <c r="B88" s="597"/>
      <c r="C88" s="578"/>
      <c r="D88" s="380"/>
      <c r="E88" s="379"/>
      <c r="F88" s="378"/>
      <c r="G88" s="378"/>
      <c r="H88" s="578"/>
      <c r="I88" s="133" t="s">
        <v>708</v>
      </c>
      <c r="J88" s="39" t="s">
        <v>595</v>
      </c>
      <c r="K88" s="21" t="s">
        <v>596</v>
      </c>
      <c r="L88" s="134">
        <f>9845*K88</f>
        <v>9845</v>
      </c>
    </row>
    <row r="89" spans="1:12" ht="40.049999999999997" customHeight="1" x14ac:dyDescent="0.25">
      <c r="A89" s="625"/>
      <c r="B89" s="597"/>
      <c r="C89" s="578"/>
      <c r="D89" s="380"/>
      <c r="E89" s="379"/>
      <c r="F89" s="378"/>
      <c r="G89" s="378"/>
      <c r="H89" s="578"/>
      <c r="I89" s="133" t="s">
        <v>709</v>
      </c>
      <c r="J89" s="39" t="s">
        <v>597</v>
      </c>
      <c r="K89" s="21" t="s">
        <v>596</v>
      </c>
      <c r="L89" s="134">
        <f>750*K89</f>
        <v>750</v>
      </c>
    </row>
    <row r="90" spans="1:12" ht="40.049999999999997" customHeight="1" x14ac:dyDescent="0.25">
      <c r="A90" s="625"/>
      <c r="B90" s="597"/>
      <c r="C90" s="578"/>
      <c r="D90" s="380"/>
      <c r="E90" s="379"/>
      <c r="F90" s="378"/>
      <c r="G90" s="378"/>
      <c r="H90" s="578"/>
      <c r="I90" s="133" t="s">
        <v>711</v>
      </c>
      <c r="J90" s="179" t="s">
        <v>696</v>
      </c>
      <c r="K90" s="22">
        <v>1</v>
      </c>
      <c r="L90" s="134">
        <f>512*K90</f>
        <v>512</v>
      </c>
    </row>
    <row r="91" spans="1:12" ht="40.049999999999997" customHeight="1" x14ac:dyDescent="0.25">
      <c r="A91" s="625"/>
      <c r="B91" s="597"/>
      <c r="C91" s="578"/>
      <c r="D91" s="380"/>
      <c r="E91" s="379"/>
      <c r="F91" s="378"/>
      <c r="G91" s="378"/>
      <c r="H91" s="578"/>
      <c r="I91" s="133" t="s">
        <v>605</v>
      </c>
      <c r="J91" s="179" t="s">
        <v>693</v>
      </c>
      <c r="K91" s="22">
        <v>1</v>
      </c>
      <c r="L91" s="134">
        <f>1066*K91</f>
        <v>1066</v>
      </c>
    </row>
    <row r="92" spans="1:12" ht="40.049999999999997" customHeight="1" thickBot="1" x14ac:dyDescent="0.3">
      <c r="A92" s="625"/>
      <c r="B92" s="605"/>
      <c r="C92" s="576"/>
      <c r="D92" s="414"/>
      <c r="E92" s="463"/>
      <c r="F92" s="469"/>
      <c r="G92" s="469"/>
      <c r="H92" s="576"/>
      <c r="I92" s="175" t="s">
        <v>702</v>
      </c>
      <c r="J92" s="247" t="s">
        <v>705</v>
      </c>
      <c r="K92" s="199">
        <v>2</v>
      </c>
      <c r="L92" s="177">
        <f>299*K92</f>
        <v>598</v>
      </c>
    </row>
    <row r="93" spans="1:12" ht="40.049999999999997" customHeight="1" x14ac:dyDescent="0.25">
      <c r="A93" s="625"/>
      <c r="B93" s="596">
        <v>7</v>
      </c>
      <c r="C93" s="577">
        <v>45072</v>
      </c>
      <c r="D93" s="447">
        <v>2023052900012</v>
      </c>
      <c r="E93" s="449" t="s">
        <v>454</v>
      </c>
      <c r="F93" s="439" t="s">
        <v>739</v>
      </c>
      <c r="G93" s="439" t="s">
        <v>740</v>
      </c>
      <c r="H93" s="577">
        <v>45075</v>
      </c>
      <c r="I93" s="141" t="s">
        <v>699</v>
      </c>
      <c r="J93" s="238" t="s">
        <v>704</v>
      </c>
      <c r="K93" s="186">
        <v>112</v>
      </c>
      <c r="L93" s="142">
        <f>47*K93</f>
        <v>5264</v>
      </c>
    </row>
    <row r="94" spans="1:12" ht="40.049999999999997" customHeight="1" x14ac:dyDescent="0.25">
      <c r="A94" s="625"/>
      <c r="B94" s="597"/>
      <c r="C94" s="578"/>
      <c r="D94" s="380"/>
      <c r="E94" s="379"/>
      <c r="F94" s="378"/>
      <c r="G94" s="378"/>
      <c r="H94" s="578"/>
      <c r="I94" s="133" t="s">
        <v>700</v>
      </c>
      <c r="J94" s="179" t="s">
        <v>704</v>
      </c>
      <c r="K94" s="22">
        <v>8</v>
      </c>
      <c r="L94" s="134">
        <f>51*K94</f>
        <v>408</v>
      </c>
    </row>
    <row r="95" spans="1:12" ht="40.049999999999997" customHeight="1" x14ac:dyDescent="0.25">
      <c r="A95" s="625"/>
      <c r="B95" s="597"/>
      <c r="C95" s="578"/>
      <c r="D95" s="380"/>
      <c r="E95" s="379"/>
      <c r="F95" s="378"/>
      <c r="G95" s="378"/>
      <c r="H95" s="578"/>
      <c r="I95" s="133" t="s">
        <v>711</v>
      </c>
      <c r="J95" s="179" t="s">
        <v>696</v>
      </c>
      <c r="K95" s="22">
        <v>1</v>
      </c>
      <c r="L95" s="134">
        <f>512*K95</f>
        <v>512</v>
      </c>
    </row>
    <row r="96" spans="1:12" ht="40.049999999999997" customHeight="1" x14ac:dyDescent="0.25">
      <c r="A96" s="625"/>
      <c r="B96" s="597"/>
      <c r="C96" s="578"/>
      <c r="D96" s="380"/>
      <c r="E96" s="379"/>
      <c r="F96" s="378"/>
      <c r="G96" s="378"/>
      <c r="H96" s="578"/>
      <c r="I96" s="133" t="s">
        <v>702</v>
      </c>
      <c r="J96" s="179" t="s">
        <v>705</v>
      </c>
      <c r="K96" s="22">
        <v>2</v>
      </c>
      <c r="L96" s="134">
        <f>299*K96</f>
        <v>598</v>
      </c>
    </row>
    <row r="97" spans="1:16" ht="40.049999999999997" customHeight="1" thickBot="1" x14ac:dyDescent="0.3">
      <c r="A97" s="626"/>
      <c r="B97" s="598"/>
      <c r="C97" s="583"/>
      <c r="D97" s="448"/>
      <c r="E97" s="450"/>
      <c r="F97" s="440"/>
      <c r="G97" s="440"/>
      <c r="H97" s="583"/>
      <c r="I97" s="143" t="s">
        <v>741</v>
      </c>
      <c r="J97" s="282" t="s">
        <v>696</v>
      </c>
      <c r="K97" s="248">
        <v>1</v>
      </c>
      <c r="L97" s="144">
        <f>1181*K97</f>
        <v>1181</v>
      </c>
    </row>
    <row r="98" spans="1:16" ht="40.049999999999997" customHeight="1" x14ac:dyDescent="0.25">
      <c r="A98" s="624">
        <v>5</v>
      </c>
      <c r="B98" s="596">
        <v>8</v>
      </c>
      <c r="C98" s="599">
        <v>45072</v>
      </c>
      <c r="D98" s="447">
        <v>2023052900014</v>
      </c>
      <c r="E98" s="449" t="s">
        <v>454</v>
      </c>
      <c r="F98" s="439" t="s">
        <v>742</v>
      </c>
      <c r="G98" s="439" t="s">
        <v>743</v>
      </c>
      <c r="H98" s="577">
        <v>45075</v>
      </c>
      <c r="I98" s="141" t="s">
        <v>699</v>
      </c>
      <c r="J98" s="238" t="s">
        <v>704</v>
      </c>
      <c r="K98" s="186">
        <v>104</v>
      </c>
      <c r="L98" s="142">
        <f>47*K98</f>
        <v>4888</v>
      </c>
    </row>
    <row r="99" spans="1:16" ht="40.049999999999997" customHeight="1" x14ac:dyDescent="0.25">
      <c r="A99" s="625"/>
      <c r="B99" s="597"/>
      <c r="C99" s="600"/>
      <c r="D99" s="380"/>
      <c r="E99" s="379"/>
      <c r="F99" s="378"/>
      <c r="G99" s="378"/>
      <c r="H99" s="578"/>
      <c r="I99" s="133" t="s">
        <v>700</v>
      </c>
      <c r="J99" s="179" t="s">
        <v>704</v>
      </c>
      <c r="K99" s="22">
        <v>8</v>
      </c>
      <c r="L99" s="134">
        <f>51*K99</f>
        <v>408</v>
      </c>
    </row>
    <row r="100" spans="1:16" ht="40.049999999999997" customHeight="1" x14ac:dyDescent="0.25">
      <c r="A100" s="625"/>
      <c r="B100" s="597"/>
      <c r="C100" s="600"/>
      <c r="D100" s="380"/>
      <c r="E100" s="379"/>
      <c r="F100" s="378"/>
      <c r="G100" s="378"/>
      <c r="H100" s="578"/>
      <c r="I100" s="133" t="s">
        <v>710</v>
      </c>
      <c r="J100" s="179" t="s">
        <v>693</v>
      </c>
      <c r="K100" s="22">
        <v>1</v>
      </c>
      <c r="L100" s="134">
        <f>1102*K100</f>
        <v>1102</v>
      </c>
    </row>
    <row r="101" spans="1:16" ht="40.049999999999997" customHeight="1" thickBot="1" x14ac:dyDescent="0.3">
      <c r="A101" s="625"/>
      <c r="B101" s="598"/>
      <c r="C101" s="610"/>
      <c r="D101" s="414"/>
      <c r="E101" s="463"/>
      <c r="F101" s="469"/>
      <c r="G101" s="469"/>
      <c r="H101" s="576"/>
      <c r="I101" s="175" t="s">
        <v>702</v>
      </c>
      <c r="J101" s="247" t="s">
        <v>705</v>
      </c>
      <c r="K101" s="199">
        <v>1</v>
      </c>
      <c r="L101" s="177">
        <f>299*K101</f>
        <v>299</v>
      </c>
    </row>
    <row r="102" spans="1:16" ht="40.049999999999997" customHeight="1" x14ac:dyDescent="0.25">
      <c r="A102" s="625"/>
      <c r="B102" s="596">
        <v>9</v>
      </c>
      <c r="C102" s="577">
        <v>45072</v>
      </c>
      <c r="D102" s="447">
        <v>2023052400002</v>
      </c>
      <c r="E102" s="449" t="s">
        <v>454</v>
      </c>
      <c r="F102" s="439" t="s">
        <v>744</v>
      </c>
      <c r="G102" s="439" t="s">
        <v>745</v>
      </c>
      <c r="H102" s="577">
        <v>45075</v>
      </c>
      <c r="I102" s="141" t="s">
        <v>699</v>
      </c>
      <c r="J102" s="238" t="s">
        <v>704</v>
      </c>
      <c r="K102" s="186">
        <v>108</v>
      </c>
      <c r="L102" s="142">
        <f>47*K102</f>
        <v>5076</v>
      </c>
    </row>
    <row r="103" spans="1:16" ht="40.049999999999997" customHeight="1" x14ac:dyDescent="0.25">
      <c r="A103" s="625"/>
      <c r="B103" s="597"/>
      <c r="C103" s="578"/>
      <c r="D103" s="380"/>
      <c r="E103" s="379"/>
      <c r="F103" s="378"/>
      <c r="G103" s="378"/>
      <c r="H103" s="578"/>
      <c r="I103" s="133" t="s">
        <v>700</v>
      </c>
      <c r="J103" s="179" t="s">
        <v>704</v>
      </c>
      <c r="K103" s="22">
        <v>8</v>
      </c>
      <c r="L103" s="134">
        <f>51*K103</f>
        <v>408</v>
      </c>
    </row>
    <row r="104" spans="1:16" ht="40.049999999999997" customHeight="1" thickBot="1" x14ac:dyDescent="0.3">
      <c r="A104" s="625"/>
      <c r="B104" s="605"/>
      <c r="C104" s="576"/>
      <c r="D104" s="414"/>
      <c r="E104" s="463"/>
      <c r="F104" s="469"/>
      <c r="G104" s="469"/>
      <c r="H104" s="576"/>
      <c r="I104" s="175" t="s">
        <v>702</v>
      </c>
      <c r="J104" s="247" t="s">
        <v>705</v>
      </c>
      <c r="K104" s="199">
        <v>1</v>
      </c>
      <c r="L104" s="177">
        <f>299*K104</f>
        <v>299</v>
      </c>
    </row>
    <row r="105" spans="1:16" ht="30" customHeight="1" thickTop="1" x14ac:dyDescent="0.25">
      <c r="A105" s="625"/>
      <c r="B105" s="615" t="s">
        <v>797</v>
      </c>
      <c r="C105" s="615"/>
      <c r="D105" s="615"/>
      <c r="E105" s="615"/>
      <c r="F105" s="615"/>
      <c r="G105" s="615"/>
      <c r="H105" s="616"/>
      <c r="I105" s="265" t="s">
        <v>617</v>
      </c>
      <c r="J105" s="266" t="s">
        <v>704</v>
      </c>
      <c r="K105" s="267">
        <f>K61+K66+K73+K79+K84+K86+K93+K98+K102</f>
        <v>968</v>
      </c>
      <c r="L105" s="212"/>
    </row>
    <row r="106" spans="1:16" ht="30" customHeight="1" x14ac:dyDescent="0.25">
      <c r="A106" s="625"/>
      <c r="B106" s="507"/>
      <c r="C106" s="507"/>
      <c r="D106" s="507"/>
      <c r="E106" s="507"/>
      <c r="F106" s="507"/>
      <c r="G106" s="507"/>
      <c r="H106" s="508"/>
      <c r="I106" s="260" t="s">
        <v>619</v>
      </c>
      <c r="J106" s="261" t="s">
        <v>704</v>
      </c>
      <c r="K106" s="262">
        <f>K62+K67+K74+K80+K85+K87+K94+K99+K103</f>
        <v>88</v>
      </c>
      <c r="L106" s="198"/>
    </row>
    <row r="107" spans="1:16" ht="30" customHeight="1" x14ac:dyDescent="0.25">
      <c r="A107" s="625"/>
      <c r="B107" s="507"/>
      <c r="C107" s="507"/>
      <c r="D107" s="507"/>
      <c r="E107" s="507"/>
      <c r="F107" s="507"/>
      <c r="G107" s="507"/>
      <c r="H107" s="508"/>
      <c r="I107" s="260" t="s">
        <v>598</v>
      </c>
      <c r="J107" s="263" t="s">
        <v>595</v>
      </c>
      <c r="K107" s="264">
        <f>K68+K88</f>
        <v>2</v>
      </c>
      <c r="L107" s="198"/>
    </row>
    <row r="108" spans="1:16" ht="30" customHeight="1" x14ac:dyDescent="0.25">
      <c r="A108" s="625"/>
      <c r="B108" s="507"/>
      <c r="C108" s="507"/>
      <c r="D108" s="507"/>
      <c r="E108" s="507"/>
      <c r="F108" s="507"/>
      <c r="G108" s="507"/>
      <c r="H108" s="508"/>
      <c r="I108" s="260" t="s">
        <v>599</v>
      </c>
      <c r="J108" s="263" t="s">
        <v>597</v>
      </c>
      <c r="K108" s="264">
        <f>K69+K89</f>
        <v>2</v>
      </c>
      <c r="L108" s="198"/>
    </row>
    <row r="109" spans="1:16" ht="30" customHeight="1" x14ac:dyDescent="0.25">
      <c r="A109" s="625"/>
      <c r="B109" s="507"/>
      <c r="C109" s="507"/>
      <c r="D109" s="507"/>
      <c r="E109" s="507"/>
      <c r="F109" s="507"/>
      <c r="G109" s="507"/>
      <c r="H109" s="508"/>
      <c r="I109" s="260" t="s">
        <v>624</v>
      </c>
      <c r="J109" s="261" t="s">
        <v>600</v>
      </c>
      <c r="K109" s="262">
        <f>K75+K100</f>
        <v>2</v>
      </c>
      <c r="L109" s="198"/>
    </row>
    <row r="110" spans="1:16" ht="30" customHeight="1" x14ac:dyDescent="0.25">
      <c r="A110" s="625"/>
      <c r="B110" s="507"/>
      <c r="C110" s="507"/>
      <c r="D110" s="507"/>
      <c r="E110" s="507"/>
      <c r="F110" s="507"/>
      <c r="G110" s="507"/>
      <c r="H110" s="508"/>
      <c r="I110" s="260" t="s">
        <v>620</v>
      </c>
      <c r="J110" s="261" t="s">
        <v>621</v>
      </c>
      <c r="K110" s="262">
        <f>K70+K76+K81+K90+K95</f>
        <v>5</v>
      </c>
      <c r="L110" s="198"/>
    </row>
    <row r="111" spans="1:16" ht="30" customHeight="1" x14ac:dyDescent="0.25">
      <c r="A111" s="625"/>
      <c r="B111" s="507"/>
      <c r="C111" s="507"/>
      <c r="D111" s="507"/>
      <c r="E111" s="507"/>
      <c r="F111" s="507"/>
      <c r="G111" s="507"/>
      <c r="H111" s="508"/>
      <c r="I111" s="260" t="s">
        <v>628</v>
      </c>
      <c r="J111" s="263" t="s">
        <v>600</v>
      </c>
      <c r="K111" s="264">
        <f>K77</f>
        <v>1</v>
      </c>
      <c r="L111" s="198"/>
    </row>
    <row r="112" spans="1:16" ht="30" customHeight="1" x14ac:dyDescent="0.25">
      <c r="A112" s="625"/>
      <c r="B112" s="507"/>
      <c r="C112" s="507"/>
      <c r="D112" s="507"/>
      <c r="E112" s="507"/>
      <c r="F112" s="507"/>
      <c r="G112" s="507"/>
      <c r="H112" s="508"/>
      <c r="I112" s="260" t="s">
        <v>605</v>
      </c>
      <c r="J112" s="261" t="s">
        <v>600</v>
      </c>
      <c r="K112" s="262">
        <f>K82+K91</f>
        <v>2</v>
      </c>
      <c r="L112" s="198"/>
      <c r="N112" s="260" t="s">
        <v>605</v>
      </c>
      <c r="O112" s="261" t="s">
        <v>600</v>
      </c>
      <c r="P112" s="262">
        <f>K112</f>
        <v>2</v>
      </c>
    </row>
    <row r="113" spans="1:12" ht="30" customHeight="1" x14ac:dyDescent="0.25">
      <c r="A113" s="625"/>
      <c r="B113" s="507"/>
      <c r="C113" s="507"/>
      <c r="D113" s="507"/>
      <c r="E113" s="507"/>
      <c r="F113" s="507"/>
      <c r="G113" s="507"/>
      <c r="H113" s="508"/>
      <c r="I113" s="260" t="s">
        <v>603</v>
      </c>
      <c r="J113" s="261" t="s">
        <v>604</v>
      </c>
      <c r="K113" s="262">
        <f>K63+K71+K83+K92+K96+K101+K104</f>
        <v>9</v>
      </c>
      <c r="L113" s="198"/>
    </row>
    <row r="114" spans="1:12" ht="30" customHeight="1" x14ac:dyDescent="0.25">
      <c r="A114" s="625"/>
      <c r="B114" s="507"/>
      <c r="C114" s="507"/>
      <c r="D114" s="507"/>
      <c r="E114" s="507"/>
      <c r="F114" s="507"/>
      <c r="G114" s="507"/>
      <c r="H114" s="508"/>
      <c r="I114" s="260" t="s">
        <v>695</v>
      </c>
      <c r="J114" s="263" t="s">
        <v>621</v>
      </c>
      <c r="K114" s="264">
        <f>K64+K78</f>
        <v>5</v>
      </c>
      <c r="L114" s="198"/>
    </row>
    <row r="115" spans="1:12" ht="30" customHeight="1" x14ac:dyDescent="0.25">
      <c r="A115" s="625"/>
      <c r="B115" s="507"/>
      <c r="C115" s="507"/>
      <c r="D115" s="507"/>
      <c r="E115" s="507"/>
      <c r="F115" s="507"/>
      <c r="G115" s="507"/>
      <c r="H115" s="508"/>
      <c r="I115" s="260" t="s">
        <v>703</v>
      </c>
      <c r="J115" s="261" t="s">
        <v>621</v>
      </c>
      <c r="K115" s="262">
        <f>K97</f>
        <v>1</v>
      </c>
      <c r="L115" s="198"/>
    </row>
    <row r="116" spans="1:12" ht="30" customHeight="1" thickBot="1" x14ac:dyDescent="0.3">
      <c r="A116" s="626"/>
      <c r="B116" s="507"/>
      <c r="C116" s="507"/>
      <c r="D116" s="507"/>
      <c r="E116" s="507"/>
      <c r="F116" s="507"/>
      <c r="G116" s="507"/>
      <c r="H116" s="508"/>
      <c r="I116" s="268" t="s">
        <v>725</v>
      </c>
      <c r="J116" s="269" t="s">
        <v>726</v>
      </c>
      <c r="K116" s="270">
        <f>K65+K72</f>
        <v>2</v>
      </c>
      <c r="L116" s="198"/>
    </row>
    <row r="117" spans="1:12" ht="40.049999999999997" customHeight="1" x14ac:dyDescent="0.25">
      <c r="A117" s="617">
        <v>6</v>
      </c>
      <c r="B117" s="602">
        <v>1</v>
      </c>
      <c r="C117" s="599">
        <v>45072</v>
      </c>
      <c r="D117" s="447">
        <v>2023052900003</v>
      </c>
      <c r="E117" s="449" t="s">
        <v>454</v>
      </c>
      <c r="F117" s="439" t="s">
        <v>746</v>
      </c>
      <c r="G117" s="439" t="s">
        <v>747</v>
      </c>
      <c r="H117" s="577">
        <v>45075</v>
      </c>
      <c r="I117" s="141" t="s">
        <v>699</v>
      </c>
      <c r="J117" s="238" t="s">
        <v>704</v>
      </c>
      <c r="K117" s="186">
        <v>108</v>
      </c>
      <c r="L117" s="142">
        <f>47*K117</f>
        <v>5076</v>
      </c>
    </row>
    <row r="118" spans="1:12" ht="40.049999999999997" customHeight="1" x14ac:dyDescent="0.25">
      <c r="A118" s="618"/>
      <c r="B118" s="603"/>
      <c r="C118" s="600"/>
      <c r="D118" s="380"/>
      <c r="E118" s="379"/>
      <c r="F118" s="378"/>
      <c r="G118" s="378"/>
      <c r="H118" s="578"/>
      <c r="I118" s="133" t="s">
        <v>700</v>
      </c>
      <c r="J118" s="179" t="s">
        <v>704</v>
      </c>
      <c r="K118" s="22">
        <v>8</v>
      </c>
      <c r="L118" s="134">
        <f>51*K118</f>
        <v>408</v>
      </c>
    </row>
    <row r="119" spans="1:12" ht="40.049999999999997" customHeight="1" thickBot="1" x14ac:dyDescent="0.3">
      <c r="A119" s="618"/>
      <c r="B119" s="604"/>
      <c r="C119" s="601"/>
      <c r="D119" s="448"/>
      <c r="E119" s="450"/>
      <c r="F119" s="440"/>
      <c r="G119" s="440"/>
      <c r="H119" s="583"/>
      <c r="I119" s="143" t="s">
        <v>710</v>
      </c>
      <c r="J119" s="282" t="s">
        <v>693</v>
      </c>
      <c r="K119" s="248">
        <v>1</v>
      </c>
      <c r="L119" s="144">
        <f>1102*K119</f>
        <v>1102</v>
      </c>
    </row>
    <row r="120" spans="1:12" ht="40.049999999999997" customHeight="1" x14ac:dyDescent="0.25">
      <c r="A120" s="618"/>
      <c r="B120" s="602">
        <v>2</v>
      </c>
      <c r="C120" s="599">
        <v>45072</v>
      </c>
      <c r="D120" s="447">
        <v>2023052900015</v>
      </c>
      <c r="E120" s="449" t="s">
        <v>454</v>
      </c>
      <c r="F120" s="439" t="s">
        <v>748</v>
      </c>
      <c r="G120" s="439" t="s">
        <v>749</v>
      </c>
      <c r="H120" s="577">
        <v>45075</v>
      </c>
      <c r="I120" s="141" t="s">
        <v>699</v>
      </c>
      <c r="J120" s="238" t="s">
        <v>704</v>
      </c>
      <c r="K120" s="186">
        <v>104</v>
      </c>
      <c r="L120" s="142">
        <f>47*K120</f>
        <v>4888</v>
      </c>
    </row>
    <row r="121" spans="1:12" ht="40.049999999999997" customHeight="1" x14ac:dyDescent="0.25">
      <c r="A121" s="618"/>
      <c r="B121" s="603"/>
      <c r="C121" s="600"/>
      <c r="D121" s="380"/>
      <c r="E121" s="379"/>
      <c r="F121" s="378"/>
      <c r="G121" s="378"/>
      <c r="H121" s="578"/>
      <c r="I121" s="133" t="s">
        <v>700</v>
      </c>
      <c r="J121" s="179" t="s">
        <v>704</v>
      </c>
      <c r="K121" s="22">
        <v>8</v>
      </c>
      <c r="L121" s="134">
        <f>51*K121</f>
        <v>408</v>
      </c>
    </row>
    <row r="122" spans="1:12" ht="40.049999999999997" customHeight="1" thickBot="1" x14ac:dyDescent="0.3">
      <c r="A122" s="618"/>
      <c r="B122" s="604"/>
      <c r="C122" s="601"/>
      <c r="D122" s="448"/>
      <c r="E122" s="450"/>
      <c r="F122" s="440"/>
      <c r="G122" s="440"/>
      <c r="H122" s="583"/>
      <c r="I122" s="143" t="s">
        <v>710</v>
      </c>
      <c r="J122" s="282" t="s">
        <v>693</v>
      </c>
      <c r="K122" s="248">
        <v>1</v>
      </c>
      <c r="L122" s="144">
        <f>1102*K122</f>
        <v>1102</v>
      </c>
    </row>
    <row r="123" spans="1:12" ht="40.049999999999997" customHeight="1" x14ac:dyDescent="0.25">
      <c r="A123" s="618"/>
      <c r="B123" s="602">
        <v>3</v>
      </c>
      <c r="C123" s="607">
        <v>45072</v>
      </c>
      <c r="D123" s="447">
        <v>2023052900016</v>
      </c>
      <c r="E123" s="449" t="s">
        <v>454</v>
      </c>
      <c r="F123" s="439" t="s">
        <v>750</v>
      </c>
      <c r="G123" s="439" t="s">
        <v>736</v>
      </c>
      <c r="H123" s="434">
        <v>45075</v>
      </c>
      <c r="I123" s="141" t="s">
        <v>699</v>
      </c>
      <c r="J123" s="238" t="s">
        <v>704</v>
      </c>
      <c r="K123" s="186">
        <v>107</v>
      </c>
      <c r="L123" s="142">
        <f>47*K123</f>
        <v>5029</v>
      </c>
    </row>
    <row r="124" spans="1:12" ht="40.049999999999997" customHeight="1" thickBot="1" x14ac:dyDescent="0.3">
      <c r="A124" s="619"/>
      <c r="B124" s="604"/>
      <c r="C124" s="609"/>
      <c r="D124" s="448"/>
      <c r="E124" s="450"/>
      <c r="F124" s="440"/>
      <c r="G124" s="440"/>
      <c r="H124" s="435"/>
      <c r="I124" s="143" t="s">
        <v>700</v>
      </c>
      <c r="J124" s="282" t="s">
        <v>704</v>
      </c>
      <c r="K124" s="248">
        <v>8</v>
      </c>
      <c r="L124" s="144">
        <f>51*K124</f>
        <v>408</v>
      </c>
    </row>
    <row r="125" spans="1:12" ht="40.049999999999997" customHeight="1" x14ac:dyDescent="0.25">
      <c r="A125" s="617">
        <v>6</v>
      </c>
      <c r="B125" s="602">
        <v>4</v>
      </c>
      <c r="C125" s="599">
        <v>45072</v>
      </c>
      <c r="D125" s="447">
        <v>2023052900017</v>
      </c>
      <c r="E125" s="449" t="s">
        <v>454</v>
      </c>
      <c r="F125" s="439" t="s">
        <v>751</v>
      </c>
      <c r="G125" s="439" t="s">
        <v>752</v>
      </c>
      <c r="H125" s="577">
        <v>45075</v>
      </c>
      <c r="I125" s="141" t="s">
        <v>699</v>
      </c>
      <c r="J125" s="238" t="s">
        <v>704</v>
      </c>
      <c r="K125" s="186">
        <v>104</v>
      </c>
      <c r="L125" s="142">
        <f>47*K125</f>
        <v>4888</v>
      </c>
    </row>
    <row r="126" spans="1:12" ht="40.049999999999997" customHeight="1" x14ac:dyDescent="0.25">
      <c r="A126" s="618"/>
      <c r="B126" s="603"/>
      <c r="C126" s="600"/>
      <c r="D126" s="380"/>
      <c r="E126" s="379"/>
      <c r="F126" s="378"/>
      <c r="G126" s="378"/>
      <c r="H126" s="578"/>
      <c r="I126" s="133" t="s">
        <v>700</v>
      </c>
      <c r="J126" s="179" t="s">
        <v>704</v>
      </c>
      <c r="K126" s="22">
        <v>7</v>
      </c>
      <c r="L126" s="134">
        <f>51*K126</f>
        <v>357</v>
      </c>
    </row>
    <row r="127" spans="1:12" ht="40.049999999999997" customHeight="1" x14ac:dyDescent="0.25">
      <c r="A127" s="618"/>
      <c r="B127" s="603"/>
      <c r="C127" s="600"/>
      <c r="D127" s="380"/>
      <c r="E127" s="379"/>
      <c r="F127" s="378"/>
      <c r="G127" s="378"/>
      <c r="H127" s="578"/>
      <c r="I127" s="133" t="s">
        <v>711</v>
      </c>
      <c r="J127" s="179" t="s">
        <v>696</v>
      </c>
      <c r="K127" s="22">
        <v>1</v>
      </c>
      <c r="L127" s="134">
        <f>512*K127</f>
        <v>512</v>
      </c>
    </row>
    <row r="128" spans="1:12" ht="40.049999999999997" customHeight="1" thickBot="1" x14ac:dyDescent="0.3">
      <c r="A128" s="618"/>
      <c r="B128" s="604"/>
      <c r="C128" s="601"/>
      <c r="D128" s="448"/>
      <c r="E128" s="450"/>
      <c r="F128" s="440"/>
      <c r="G128" s="440"/>
      <c r="H128" s="583"/>
      <c r="I128" s="143" t="s">
        <v>702</v>
      </c>
      <c r="J128" s="282" t="s">
        <v>705</v>
      </c>
      <c r="K128" s="248">
        <v>1</v>
      </c>
      <c r="L128" s="144">
        <f>299*K128</f>
        <v>299</v>
      </c>
    </row>
    <row r="129" spans="1:12" ht="30" customHeight="1" x14ac:dyDescent="0.25">
      <c r="A129" s="618"/>
      <c r="B129" s="602">
        <v>5</v>
      </c>
      <c r="C129" s="599">
        <v>45072</v>
      </c>
      <c r="D129" s="447">
        <v>2023052900018</v>
      </c>
      <c r="E129" s="449" t="s">
        <v>454</v>
      </c>
      <c r="F129" s="439" t="s">
        <v>753</v>
      </c>
      <c r="G129" s="439" t="s">
        <v>754</v>
      </c>
      <c r="H129" s="577">
        <v>45075</v>
      </c>
      <c r="I129" s="141" t="s">
        <v>699</v>
      </c>
      <c r="J129" s="238" t="s">
        <v>704</v>
      </c>
      <c r="K129" s="186">
        <v>100</v>
      </c>
      <c r="L129" s="142">
        <f>47*K129</f>
        <v>4700</v>
      </c>
    </row>
    <row r="130" spans="1:12" ht="30" customHeight="1" x14ac:dyDescent="0.25">
      <c r="A130" s="618"/>
      <c r="B130" s="603"/>
      <c r="C130" s="600"/>
      <c r="D130" s="380"/>
      <c r="E130" s="379"/>
      <c r="F130" s="378"/>
      <c r="G130" s="378"/>
      <c r="H130" s="578"/>
      <c r="I130" s="133" t="s">
        <v>700</v>
      </c>
      <c r="J130" s="179" t="s">
        <v>704</v>
      </c>
      <c r="K130" s="22">
        <v>8</v>
      </c>
      <c r="L130" s="134">
        <f>51*K130</f>
        <v>408</v>
      </c>
    </row>
    <row r="131" spans="1:12" ht="30" customHeight="1" thickBot="1" x14ac:dyDescent="0.3">
      <c r="A131" s="618"/>
      <c r="B131" s="604"/>
      <c r="C131" s="601"/>
      <c r="D131" s="448"/>
      <c r="E131" s="450"/>
      <c r="F131" s="440"/>
      <c r="G131" s="440"/>
      <c r="H131" s="583"/>
      <c r="I131" s="143" t="s">
        <v>702</v>
      </c>
      <c r="J131" s="282" t="s">
        <v>705</v>
      </c>
      <c r="K131" s="248">
        <v>1</v>
      </c>
      <c r="L131" s="144">
        <f>299*K131</f>
        <v>299</v>
      </c>
    </row>
    <row r="132" spans="1:12" ht="30" customHeight="1" x14ac:dyDescent="0.25">
      <c r="A132" s="618"/>
      <c r="B132" s="602">
        <v>6</v>
      </c>
      <c r="C132" s="599">
        <v>45072</v>
      </c>
      <c r="D132" s="447">
        <v>2023052400008</v>
      </c>
      <c r="E132" s="449" t="s">
        <v>454</v>
      </c>
      <c r="F132" s="439" t="s">
        <v>755</v>
      </c>
      <c r="G132" s="439" t="s">
        <v>756</v>
      </c>
      <c r="H132" s="577">
        <v>45075</v>
      </c>
      <c r="I132" s="141" t="s">
        <v>699</v>
      </c>
      <c r="J132" s="238" t="s">
        <v>704</v>
      </c>
      <c r="K132" s="186">
        <v>100</v>
      </c>
      <c r="L132" s="142">
        <f>47*K132</f>
        <v>4700</v>
      </c>
    </row>
    <row r="133" spans="1:12" ht="30" customHeight="1" x14ac:dyDescent="0.25">
      <c r="A133" s="618"/>
      <c r="B133" s="603"/>
      <c r="C133" s="600"/>
      <c r="D133" s="380"/>
      <c r="E133" s="379"/>
      <c r="F133" s="378"/>
      <c r="G133" s="378"/>
      <c r="H133" s="578"/>
      <c r="I133" s="133" t="s">
        <v>700</v>
      </c>
      <c r="J133" s="179" t="s">
        <v>704</v>
      </c>
      <c r="K133" s="22">
        <v>8</v>
      </c>
      <c r="L133" s="134">
        <f>51*K133</f>
        <v>408</v>
      </c>
    </row>
    <row r="134" spans="1:12" ht="30" customHeight="1" x14ac:dyDescent="0.25">
      <c r="A134" s="618"/>
      <c r="B134" s="603"/>
      <c r="C134" s="600"/>
      <c r="D134" s="380"/>
      <c r="E134" s="379"/>
      <c r="F134" s="378"/>
      <c r="G134" s="378"/>
      <c r="H134" s="578"/>
      <c r="I134" s="133" t="s">
        <v>708</v>
      </c>
      <c r="J134" s="39" t="s">
        <v>595</v>
      </c>
      <c r="K134" s="21" t="s">
        <v>596</v>
      </c>
      <c r="L134" s="134">
        <f>9845*K134</f>
        <v>9845</v>
      </c>
    </row>
    <row r="135" spans="1:12" ht="40.049999999999997" customHeight="1" x14ac:dyDescent="0.25">
      <c r="A135" s="618"/>
      <c r="B135" s="603"/>
      <c r="C135" s="600"/>
      <c r="D135" s="380"/>
      <c r="E135" s="379"/>
      <c r="F135" s="378"/>
      <c r="G135" s="378"/>
      <c r="H135" s="578"/>
      <c r="I135" s="133" t="s">
        <v>709</v>
      </c>
      <c r="J135" s="39" t="s">
        <v>597</v>
      </c>
      <c r="K135" s="21" t="s">
        <v>596</v>
      </c>
      <c r="L135" s="134">
        <f>750*K135</f>
        <v>750</v>
      </c>
    </row>
    <row r="136" spans="1:12" ht="40.049999999999997" customHeight="1" thickBot="1" x14ac:dyDescent="0.3">
      <c r="A136" s="618"/>
      <c r="B136" s="604"/>
      <c r="C136" s="601"/>
      <c r="D136" s="448"/>
      <c r="E136" s="450"/>
      <c r="F136" s="440"/>
      <c r="G136" s="440"/>
      <c r="H136" s="583"/>
      <c r="I136" s="143" t="s">
        <v>702</v>
      </c>
      <c r="J136" s="282" t="s">
        <v>705</v>
      </c>
      <c r="K136" s="248">
        <v>1</v>
      </c>
      <c r="L136" s="144">
        <f>299*K136</f>
        <v>299</v>
      </c>
    </row>
    <row r="137" spans="1:12" ht="40.049999999999997" customHeight="1" x14ac:dyDescent="0.25">
      <c r="A137" s="618"/>
      <c r="B137" s="602">
        <v>7</v>
      </c>
      <c r="C137" s="599">
        <v>45072</v>
      </c>
      <c r="D137" s="447">
        <v>2023052900019</v>
      </c>
      <c r="E137" s="449" t="s">
        <v>454</v>
      </c>
      <c r="F137" s="439" t="s">
        <v>757</v>
      </c>
      <c r="G137" s="439" t="s">
        <v>758</v>
      </c>
      <c r="H137" s="577">
        <v>45075</v>
      </c>
      <c r="I137" s="141" t="s">
        <v>699</v>
      </c>
      <c r="J137" s="238" t="s">
        <v>704</v>
      </c>
      <c r="K137" s="186">
        <v>100</v>
      </c>
      <c r="L137" s="142">
        <f>47*K137</f>
        <v>4700</v>
      </c>
    </row>
    <row r="138" spans="1:12" ht="40.049999999999997" customHeight="1" x14ac:dyDescent="0.25">
      <c r="A138" s="618"/>
      <c r="B138" s="603"/>
      <c r="C138" s="600"/>
      <c r="D138" s="380"/>
      <c r="E138" s="379"/>
      <c r="F138" s="378"/>
      <c r="G138" s="378"/>
      <c r="H138" s="578"/>
      <c r="I138" s="133" t="s">
        <v>700</v>
      </c>
      <c r="J138" s="179" t="s">
        <v>704</v>
      </c>
      <c r="K138" s="22">
        <v>8</v>
      </c>
      <c r="L138" s="134">
        <f>51*K138</f>
        <v>408</v>
      </c>
    </row>
    <row r="139" spans="1:12" ht="40.049999999999997" customHeight="1" x14ac:dyDescent="0.25">
      <c r="A139" s="618"/>
      <c r="B139" s="603"/>
      <c r="C139" s="600"/>
      <c r="D139" s="380"/>
      <c r="E139" s="379"/>
      <c r="F139" s="378"/>
      <c r="G139" s="378"/>
      <c r="H139" s="578"/>
      <c r="I139" s="133" t="s">
        <v>710</v>
      </c>
      <c r="J139" s="179" t="s">
        <v>693</v>
      </c>
      <c r="K139" s="22">
        <v>1</v>
      </c>
      <c r="L139" s="134">
        <f>1102*K139</f>
        <v>1102</v>
      </c>
    </row>
    <row r="140" spans="1:12" ht="40.049999999999997" customHeight="1" thickBot="1" x14ac:dyDescent="0.3">
      <c r="A140" s="618"/>
      <c r="B140" s="604"/>
      <c r="C140" s="601"/>
      <c r="D140" s="448"/>
      <c r="E140" s="450"/>
      <c r="F140" s="440"/>
      <c r="G140" s="440"/>
      <c r="H140" s="583"/>
      <c r="I140" s="143" t="s">
        <v>702</v>
      </c>
      <c r="J140" s="282" t="s">
        <v>705</v>
      </c>
      <c r="K140" s="248">
        <v>2</v>
      </c>
      <c r="L140" s="144">
        <f>299*K140</f>
        <v>598</v>
      </c>
    </row>
    <row r="141" spans="1:12" ht="40.049999999999997" customHeight="1" x14ac:dyDescent="0.25">
      <c r="A141" s="618"/>
      <c r="B141" s="602">
        <v>8</v>
      </c>
      <c r="C141" s="599">
        <v>45072</v>
      </c>
      <c r="D141" s="447">
        <v>2023052900020</v>
      </c>
      <c r="E141" s="449" t="s">
        <v>454</v>
      </c>
      <c r="F141" s="439" t="s">
        <v>759</v>
      </c>
      <c r="G141" s="439" t="s">
        <v>760</v>
      </c>
      <c r="H141" s="577">
        <v>45075</v>
      </c>
      <c r="I141" s="141" t="s">
        <v>699</v>
      </c>
      <c r="J141" s="238" t="s">
        <v>704</v>
      </c>
      <c r="K141" s="186">
        <v>100</v>
      </c>
      <c r="L141" s="142">
        <f>47*K141</f>
        <v>4700</v>
      </c>
    </row>
    <row r="142" spans="1:12" ht="40.049999999999997" customHeight="1" x14ac:dyDescent="0.25">
      <c r="A142" s="618"/>
      <c r="B142" s="603"/>
      <c r="C142" s="600"/>
      <c r="D142" s="380"/>
      <c r="E142" s="379"/>
      <c r="F142" s="378"/>
      <c r="G142" s="378"/>
      <c r="H142" s="578"/>
      <c r="I142" s="133" t="s">
        <v>700</v>
      </c>
      <c r="J142" s="179" t="s">
        <v>704</v>
      </c>
      <c r="K142" s="22">
        <v>8</v>
      </c>
      <c r="L142" s="134">
        <f>51*K142</f>
        <v>408</v>
      </c>
    </row>
    <row r="143" spans="1:12" ht="40.049999999999997" customHeight="1" x14ac:dyDescent="0.25">
      <c r="A143" s="618"/>
      <c r="B143" s="603"/>
      <c r="C143" s="600"/>
      <c r="D143" s="380"/>
      <c r="E143" s="379"/>
      <c r="F143" s="378"/>
      <c r="G143" s="378"/>
      <c r="H143" s="578"/>
      <c r="I143" s="133" t="s">
        <v>708</v>
      </c>
      <c r="J143" s="39" t="s">
        <v>595</v>
      </c>
      <c r="K143" s="21" t="s">
        <v>596</v>
      </c>
      <c r="L143" s="134">
        <f>9845*K143</f>
        <v>9845</v>
      </c>
    </row>
    <row r="144" spans="1:12" ht="40.049999999999997" customHeight="1" thickBot="1" x14ac:dyDescent="0.3">
      <c r="A144" s="618"/>
      <c r="B144" s="604"/>
      <c r="C144" s="601"/>
      <c r="D144" s="448"/>
      <c r="E144" s="450"/>
      <c r="F144" s="440"/>
      <c r="G144" s="440"/>
      <c r="H144" s="583"/>
      <c r="I144" s="143" t="s">
        <v>709</v>
      </c>
      <c r="J144" s="44" t="s">
        <v>597</v>
      </c>
      <c r="K144" s="243" t="s">
        <v>596</v>
      </c>
      <c r="L144" s="144">
        <f>750*K144</f>
        <v>750</v>
      </c>
    </row>
    <row r="145" spans="1:12" ht="40.049999999999997" customHeight="1" x14ac:dyDescent="0.25">
      <c r="A145" s="618"/>
      <c r="B145" s="602">
        <v>9</v>
      </c>
      <c r="C145" s="599">
        <v>45072</v>
      </c>
      <c r="D145" s="447">
        <v>2023052900021</v>
      </c>
      <c r="E145" s="449" t="s">
        <v>454</v>
      </c>
      <c r="F145" s="439" t="s">
        <v>761</v>
      </c>
      <c r="G145" s="439" t="s">
        <v>762</v>
      </c>
      <c r="H145" s="577">
        <v>45075</v>
      </c>
      <c r="I145" s="141" t="s">
        <v>699</v>
      </c>
      <c r="J145" s="238" t="s">
        <v>704</v>
      </c>
      <c r="K145" s="186">
        <v>100</v>
      </c>
      <c r="L145" s="142">
        <f>47*K145</f>
        <v>4700</v>
      </c>
    </row>
    <row r="146" spans="1:12" ht="40.049999999999997" customHeight="1" x14ac:dyDescent="0.25">
      <c r="A146" s="618"/>
      <c r="B146" s="603"/>
      <c r="C146" s="600"/>
      <c r="D146" s="380"/>
      <c r="E146" s="379"/>
      <c r="F146" s="378"/>
      <c r="G146" s="378"/>
      <c r="H146" s="578"/>
      <c r="I146" s="133" t="s">
        <v>700</v>
      </c>
      <c r="J146" s="179" t="s">
        <v>704</v>
      </c>
      <c r="K146" s="22">
        <v>8</v>
      </c>
      <c r="L146" s="134">
        <f>51*K146</f>
        <v>408</v>
      </c>
    </row>
    <row r="147" spans="1:12" ht="40.049999999999997" customHeight="1" thickBot="1" x14ac:dyDescent="0.3">
      <c r="A147" s="618"/>
      <c r="B147" s="604"/>
      <c r="C147" s="601"/>
      <c r="D147" s="448"/>
      <c r="E147" s="450"/>
      <c r="F147" s="440"/>
      <c r="G147" s="440"/>
      <c r="H147" s="583"/>
      <c r="I147" s="143" t="s">
        <v>711</v>
      </c>
      <c r="J147" s="282" t="s">
        <v>696</v>
      </c>
      <c r="K147" s="248">
        <v>1</v>
      </c>
      <c r="L147" s="144">
        <f>512*K147</f>
        <v>512</v>
      </c>
    </row>
    <row r="148" spans="1:12" ht="40.049999999999997" customHeight="1" x14ac:dyDescent="0.25">
      <c r="A148" s="618"/>
      <c r="B148" s="602">
        <v>10</v>
      </c>
      <c r="C148" s="599">
        <v>45072</v>
      </c>
      <c r="D148" s="447">
        <v>2023052400009</v>
      </c>
      <c r="E148" s="449" t="s">
        <v>454</v>
      </c>
      <c r="F148" s="439" t="s">
        <v>763</v>
      </c>
      <c r="G148" s="439" t="s">
        <v>754</v>
      </c>
      <c r="H148" s="577">
        <v>45075</v>
      </c>
      <c r="I148" s="141" t="s">
        <v>699</v>
      </c>
      <c r="J148" s="238" t="s">
        <v>704</v>
      </c>
      <c r="K148" s="186">
        <v>100</v>
      </c>
      <c r="L148" s="142">
        <f>47*K148</f>
        <v>4700</v>
      </c>
    </row>
    <row r="149" spans="1:12" ht="40.049999999999997" customHeight="1" x14ac:dyDescent="0.25">
      <c r="A149" s="618"/>
      <c r="B149" s="603"/>
      <c r="C149" s="600"/>
      <c r="D149" s="380"/>
      <c r="E149" s="379"/>
      <c r="F149" s="378"/>
      <c r="G149" s="378"/>
      <c r="H149" s="578"/>
      <c r="I149" s="133" t="s">
        <v>700</v>
      </c>
      <c r="J149" s="179" t="s">
        <v>704</v>
      </c>
      <c r="K149" s="22">
        <v>8</v>
      </c>
      <c r="L149" s="134">
        <f>51*K149</f>
        <v>408</v>
      </c>
    </row>
    <row r="150" spans="1:12" ht="40.049999999999997" customHeight="1" thickBot="1" x14ac:dyDescent="0.3">
      <c r="A150" s="619"/>
      <c r="B150" s="604"/>
      <c r="C150" s="601"/>
      <c r="D150" s="448"/>
      <c r="E150" s="450"/>
      <c r="F150" s="440"/>
      <c r="G150" s="440"/>
      <c r="H150" s="583"/>
      <c r="I150" s="143" t="s">
        <v>702</v>
      </c>
      <c r="J150" s="282" t="s">
        <v>705</v>
      </c>
      <c r="K150" s="248">
        <v>1</v>
      </c>
      <c r="L150" s="144">
        <f>299*K150</f>
        <v>299</v>
      </c>
    </row>
    <row r="151" spans="1:12" ht="40.049999999999997" customHeight="1" x14ac:dyDescent="0.25">
      <c r="A151" s="617">
        <v>6</v>
      </c>
      <c r="B151" s="602">
        <v>11</v>
      </c>
      <c r="C151" s="607">
        <v>45072</v>
      </c>
      <c r="D151" s="447">
        <v>2023052400010</v>
      </c>
      <c r="E151" s="449" t="s">
        <v>454</v>
      </c>
      <c r="F151" s="439" t="s">
        <v>764</v>
      </c>
      <c r="G151" s="439" t="s">
        <v>765</v>
      </c>
      <c r="H151" s="434">
        <v>45075</v>
      </c>
      <c r="I151" s="141" t="s">
        <v>699</v>
      </c>
      <c r="J151" s="238" t="s">
        <v>704</v>
      </c>
      <c r="K151" s="186">
        <v>100</v>
      </c>
      <c r="L151" s="142">
        <f>47*K151</f>
        <v>4700</v>
      </c>
    </row>
    <row r="152" spans="1:12" ht="40.049999999999997" customHeight="1" thickBot="1" x14ac:dyDescent="0.3">
      <c r="A152" s="618"/>
      <c r="B152" s="606"/>
      <c r="C152" s="608"/>
      <c r="D152" s="414"/>
      <c r="E152" s="463"/>
      <c r="F152" s="469"/>
      <c r="G152" s="469"/>
      <c r="H152" s="412"/>
      <c r="I152" s="175" t="s">
        <v>700</v>
      </c>
      <c r="J152" s="247" t="s">
        <v>704</v>
      </c>
      <c r="K152" s="199">
        <v>8</v>
      </c>
      <c r="L152" s="177">
        <f>51*K152</f>
        <v>408</v>
      </c>
    </row>
    <row r="153" spans="1:12" ht="30" customHeight="1" thickTop="1" x14ac:dyDescent="0.25">
      <c r="A153" s="618"/>
      <c r="B153" s="615" t="s">
        <v>798</v>
      </c>
      <c r="C153" s="615"/>
      <c r="D153" s="615"/>
      <c r="E153" s="615"/>
      <c r="F153" s="615"/>
      <c r="G153" s="615"/>
      <c r="H153" s="616"/>
      <c r="I153" s="265" t="s">
        <v>617</v>
      </c>
      <c r="J153" s="266" t="s">
        <v>704</v>
      </c>
      <c r="K153" s="267">
        <f>K117+K120+K123+K125+K129+K132+K137+K141+K145+K148+K151</f>
        <v>1123</v>
      </c>
      <c r="L153" s="212"/>
    </row>
    <row r="154" spans="1:12" ht="30" customHeight="1" x14ac:dyDescent="0.25">
      <c r="A154" s="618"/>
      <c r="B154" s="507"/>
      <c r="C154" s="507"/>
      <c r="D154" s="507"/>
      <c r="E154" s="507"/>
      <c r="F154" s="507"/>
      <c r="G154" s="507"/>
      <c r="H154" s="508"/>
      <c r="I154" s="260" t="s">
        <v>619</v>
      </c>
      <c r="J154" s="261" t="s">
        <v>704</v>
      </c>
      <c r="K154" s="262">
        <f>K118+K121+K124+K126+K130+K133+K138+K142+K146+K149+K152</f>
        <v>87</v>
      </c>
      <c r="L154" s="198"/>
    </row>
    <row r="155" spans="1:12" ht="30" customHeight="1" x14ac:dyDescent="0.25">
      <c r="A155" s="618"/>
      <c r="B155" s="507"/>
      <c r="C155" s="507"/>
      <c r="D155" s="507"/>
      <c r="E155" s="507"/>
      <c r="F155" s="507"/>
      <c r="G155" s="507"/>
      <c r="H155" s="508"/>
      <c r="I155" s="260" t="s">
        <v>598</v>
      </c>
      <c r="J155" s="263" t="s">
        <v>595</v>
      </c>
      <c r="K155" s="264">
        <f>K134+K143</f>
        <v>2</v>
      </c>
      <c r="L155" s="198"/>
    </row>
    <row r="156" spans="1:12" ht="30" customHeight="1" x14ac:dyDescent="0.25">
      <c r="A156" s="618"/>
      <c r="B156" s="507"/>
      <c r="C156" s="507"/>
      <c r="D156" s="507"/>
      <c r="E156" s="507"/>
      <c r="F156" s="507"/>
      <c r="G156" s="507"/>
      <c r="H156" s="508"/>
      <c r="I156" s="260" t="s">
        <v>599</v>
      </c>
      <c r="J156" s="263" t="s">
        <v>597</v>
      </c>
      <c r="K156" s="264">
        <f>K135+K144</f>
        <v>2</v>
      </c>
      <c r="L156" s="198"/>
    </row>
    <row r="157" spans="1:12" ht="30" customHeight="1" x14ac:dyDescent="0.25">
      <c r="A157" s="618"/>
      <c r="B157" s="507"/>
      <c r="C157" s="507"/>
      <c r="D157" s="507"/>
      <c r="E157" s="507"/>
      <c r="F157" s="507"/>
      <c r="G157" s="507"/>
      <c r="H157" s="508"/>
      <c r="I157" s="260" t="s">
        <v>624</v>
      </c>
      <c r="J157" s="261" t="s">
        <v>600</v>
      </c>
      <c r="K157" s="262">
        <f>K119+K122+K139</f>
        <v>3</v>
      </c>
      <c r="L157" s="198"/>
    </row>
    <row r="158" spans="1:12" ht="30" customHeight="1" x14ac:dyDescent="0.25">
      <c r="A158" s="618"/>
      <c r="B158" s="507"/>
      <c r="C158" s="507"/>
      <c r="D158" s="507"/>
      <c r="E158" s="507"/>
      <c r="F158" s="507"/>
      <c r="G158" s="507"/>
      <c r="H158" s="508"/>
      <c r="I158" s="260" t="s">
        <v>620</v>
      </c>
      <c r="J158" s="261" t="s">
        <v>621</v>
      </c>
      <c r="K158" s="270">
        <f>K127+K147</f>
        <v>2</v>
      </c>
      <c r="L158" s="198"/>
    </row>
    <row r="159" spans="1:12" ht="30" customHeight="1" thickBot="1" x14ac:dyDescent="0.3">
      <c r="A159" s="619"/>
      <c r="B159" s="552"/>
      <c r="C159" s="552"/>
      <c r="D159" s="552"/>
      <c r="E159" s="552"/>
      <c r="F159" s="552"/>
      <c r="G159" s="552"/>
      <c r="H159" s="553"/>
      <c r="I159" s="271" t="s">
        <v>603</v>
      </c>
      <c r="J159" s="272" t="s">
        <v>604</v>
      </c>
      <c r="K159" s="273">
        <f>K128+K131+K136+K140+K150</f>
        <v>6</v>
      </c>
      <c r="L159" s="249"/>
    </row>
    <row r="160" spans="1:12" ht="40.049999999999997" customHeight="1" x14ac:dyDescent="0.25">
      <c r="A160" s="620">
        <v>7</v>
      </c>
      <c r="B160" s="596">
        <v>1</v>
      </c>
      <c r="C160" s="577">
        <v>45072</v>
      </c>
      <c r="D160" s="447">
        <v>2023052400011</v>
      </c>
      <c r="E160" s="449" t="s">
        <v>454</v>
      </c>
      <c r="F160" s="439" t="s">
        <v>766</v>
      </c>
      <c r="G160" s="439" t="s">
        <v>767</v>
      </c>
      <c r="H160" s="577">
        <v>45075</v>
      </c>
      <c r="I160" s="141" t="s">
        <v>699</v>
      </c>
      <c r="J160" s="238" t="s">
        <v>704</v>
      </c>
      <c r="K160" s="186">
        <v>100</v>
      </c>
      <c r="L160" s="142">
        <f>47*K160</f>
        <v>4700</v>
      </c>
    </row>
    <row r="161" spans="1:12" ht="40.049999999999997" customHeight="1" x14ac:dyDescent="0.25">
      <c r="A161" s="621"/>
      <c r="B161" s="597"/>
      <c r="C161" s="578"/>
      <c r="D161" s="380"/>
      <c r="E161" s="379"/>
      <c r="F161" s="378"/>
      <c r="G161" s="378"/>
      <c r="H161" s="578"/>
      <c r="I161" s="133" t="s">
        <v>700</v>
      </c>
      <c r="J161" s="179" t="s">
        <v>704</v>
      </c>
      <c r="K161" s="22">
        <v>8</v>
      </c>
      <c r="L161" s="134">
        <f>51*K161</f>
        <v>408</v>
      </c>
    </row>
    <row r="162" spans="1:12" ht="40.049999999999997" customHeight="1" x14ac:dyDescent="0.25">
      <c r="A162" s="621"/>
      <c r="B162" s="597"/>
      <c r="C162" s="578"/>
      <c r="D162" s="380"/>
      <c r="E162" s="379"/>
      <c r="F162" s="378"/>
      <c r="G162" s="378"/>
      <c r="H162" s="578"/>
      <c r="I162" s="133" t="s">
        <v>708</v>
      </c>
      <c r="J162" s="39" t="s">
        <v>595</v>
      </c>
      <c r="K162" s="21" t="s">
        <v>596</v>
      </c>
      <c r="L162" s="134">
        <f>9845*K162</f>
        <v>9845</v>
      </c>
    </row>
    <row r="163" spans="1:12" ht="40.049999999999997" customHeight="1" thickBot="1" x14ac:dyDescent="0.3">
      <c r="A163" s="621"/>
      <c r="B163" s="605"/>
      <c r="C163" s="576"/>
      <c r="D163" s="414"/>
      <c r="E163" s="463"/>
      <c r="F163" s="469"/>
      <c r="G163" s="469"/>
      <c r="H163" s="576"/>
      <c r="I163" s="175" t="s">
        <v>709</v>
      </c>
      <c r="J163" s="178" t="s">
        <v>597</v>
      </c>
      <c r="K163" s="207" t="s">
        <v>596</v>
      </c>
      <c r="L163" s="177">
        <f>750*K163</f>
        <v>750</v>
      </c>
    </row>
    <row r="164" spans="1:12" ht="40.049999999999997" customHeight="1" x14ac:dyDescent="0.25">
      <c r="A164" s="621"/>
      <c r="B164" s="596">
        <v>2</v>
      </c>
      <c r="C164" s="577">
        <v>45072</v>
      </c>
      <c r="D164" s="447">
        <v>2023053000001</v>
      </c>
      <c r="E164" s="449" t="s">
        <v>454</v>
      </c>
      <c r="F164" s="439" t="s">
        <v>768</v>
      </c>
      <c r="G164" s="439" t="s">
        <v>769</v>
      </c>
      <c r="H164" s="577">
        <v>45075</v>
      </c>
      <c r="I164" s="141" t="s">
        <v>699</v>
      </c>
      <c r="J164" s="238" t="s">
        <v>704</v>
      </c>
      <c r="K164" s="186">
        <v>100</v>
      </c>
      <c r="L164" s="142">
        <f>47*K164</f>
        <v>4700</v>
      </c>
    </row>
    <row r="165" spans="1:12" ht="40.049999999999997" customHeight="1" x14ac:dyDescent="0.25">
      <c r="A165" s="621"/>
      <c r="B165" s="597"/>
      <c r="C165" s="578"/>
      <c r="D165" s="380"/>
      <c r="E165" s="379"/>
      <c r="F165" s="378"/>
      <c r="G165" s="378"/>
      <c r="H165" s="578"/>
      <c r="I165" s="133" t="s">
        <v>700</v>
      </c>
      <c r="J165" s="179" t="s">
        <v>704</v>
      </c>
      <c r="K165" s="22">
        <v>8</v>
      </c>
      <c r="L165" s="134">
        <f>51*K165</f>
        <v>408</v>
      </c>
    </row>
    <row r="166" spans="1:12" ht="40.049999999999997" customHeight="1" x14ac:dyDescent="0.25">
      <c r="A166" s="621"/>
      <c r="B166" s="597"/>
      <c r="C166" s="578"/>
      <c r="D166" s="380"/>
      <c r="E166" s="379"/>
      <c r="F166" s="378"/>
      <c r="G166" s="378"/>
      <c r="H166" s="578"/>
      <c r="I166" s="133" t="s">
        <v>711</v>
      </c>
      <c r="J166" s="179" t="s">
        <v>696</v>
      </c>
      <c r="K166" s="22">
        <v>1</v>
      </c>
      <c r="L166" s="134">
        <f>512*K166</f>
        <v>512</v>
      </c>
    </row>
    <row r="167" spans="1:12" ht="40.049999999999997" customHeight="1" thickBot="1" x14ac:dyDescent="0.3">
      <c r="A167" s="621"/>
      <c r="B167" s="598"/>
      <c r="C167" s="583"/>
      <c r="D167" s="448"/>
      <c r="E167" s="450"/>
      <c r="F167" s="440"/>
      <c r="G167" s="440"/>
      <c r="H167" s="583"/>
      <c r="I167" s="143" t="s">
        <v>702</v>
      </c>
      <c r="J167" s="282" t="s">
        <v>705</v>
      </c>
      <c r="K167" s="248">
        <v>2</v>
      </c>
      <c r="L167" s="144">
        <f>299*K167</f>
        <v>598</v>
      </c>
    </row>
    <row r="168" spans="1:12" ht="40.049999999999997" customHeight="1" x14ac:dyDescent="0.25">
      <c r="A168" s="621"/>
      <c r="B168" s="596">
        <v>3</v>
      </c>
      <c r="C168" s="599">
        <v>45072</v>
      </c>
      <c r="D168" s="447">
        <v>2023053000002</v>
      </c>
      <c r="E168" s="449" t="s">
        <v>454</v>
      </c>
      <c r="F168" s="439" t="s">
        <v>770</v>
      </c>
      <c r="G168" s="439" t="s">
        <v>771</v>
      </c>
      <c r="H168" s="577">
        <v>45075</v>
      </c>
      <c r="I168" s="141" t="s">
        <v>699</v>
      </c>
      <c r="J168" s="238" t="s">
        <v>704</v>
      </c>
      <c r="K168" s="186">
        <v>100</v>
      </c>
      <c r="L168" s="142">
        <f>47*K168</f>
        <v>4700</v>
      </c>
    </row>
    <row r="169" spans="1:12" ht="40.049999999999997" customHeight="1" x14ac:dyDescent="0.25">
      <c r="A169" s="621"/>
      <c r="B169" s="597"/>
      <c r="C169" s="600"/>
      <c r="D169" s="380"/>
      <c r="E169" s="379"/>
      <c r="F169" s="378"/>
      <c r="G169" s="378"/>
      <c r="H169" s="578"/>
      <c r="I169" s="133" t="s">
        <v>700</v>
      </c>
      <c r="J169" s="179" t="s">
        <v>704</v>
      </c>
      <c r="K169" s="22">
        <v>8</v>
      </c>
      <c r="L169" s="134">
        <f>51*K169</f>
        <v>408</v>
      </c>
    </row>
    <row r="170" spans="1:12" ht="40.049999999999997" customHeight="1" thickBot="1" x14ac:dyDescent="0.3">
      <c r="A170" s="621"/>
      <c r="B170" s="598"/>
      <c r="C170" s="601"/>
      <c r="D170" s="448"/>
      <c r="E170" s="450"/>
      <c r="F170" s="440"/>
      <c r="G170" s="440"/>
      <c r="H170" s="583"/>
      <c r="I170" s="143" t="s">
        <v>702</v>
      </c>
      <c r="J170" s="282" t="s">
        <v>705</v>
      </c>
      <c r="K170" s="248">
        <v>2</v>
      </c>
      <c r="L170" s="144">
        <f>299*K170</f>
        <v>598</v>
      </c>
    </row>
    <row r="171" spans="1:12" ht="30" customHeight="1" x14ac:dyDescent="0.25">
      <c r="A171" s="621"/>
      <c r="B171" s="596">
        <v>4</v>
      </c>
      <c r="C171" s="577">
        <v>45072</v>
      </c>
      <c r="D171" s="447">
        <v>2023052900008</v>
      </c>
      <c r="E171" s="449" t="s">
        <v>454</v>
      </c>
      <c r="F171" s="439" t="s">
        <v>772</v>
      </c>
      <c r="G171" s="439" t="s">
        <v>773</v>
      </c>
      <c r="H171" s="577">
        <v>45075</v>
      </c>
      <c r="I171" s="141" t="s">
        <v>699</v>
      </c>
      <c r="J171" s="238" t="s">
        <v>704</v>
      </c>
      <c r="K171" s="186">
        <v>110</v>
      </c>
      <c r="L171" s="142">
        <f>47*K171</f>
        <v>5170</v>
      </c>
    </row>
    <row r="172" spans="1:12" ht="30" customHeight="1" x14ac:dyDescent="0.25">
      <c r="A172" s="621"/>
      <c r="B172" s="597"/>
      <c r="C172" s="578"/>
      <c r="D172" s="380"/>
      <c r="E172" s="379"/>
      <c r="F172" s="378"/>
      <c r="G172" s="378"/>
      <c r="H172" s="578"/>
      <c r="I172" s="133" t="s">
        <v>700</v>
      </c>
      <c r="J172" s="179" t="s">
        <v>704</v>
      </c>
      <c r="K172" s="22">
        <v>16</v>
      </c>
      <c r="L172" s="134">
        <f>51*K172</f>
        <v>816</v>
      </c>
    </row>
    <row r="173" spans="1:12" ht="30" customHeight="1" x14ac:dyDescent="0.25">
      <c r="A173" s="621"/>
      <c r="B173" s="597"/>
      <c r="C173" s="578"/>
      <c r="D173" s="380"/>
      <c r="E173" s="379"/>
      <c r="F173" s="378"/>
      <c r="G173" s="378"/>
      <c r="H173" s="578"/>
      <c r="I173" s="133" t="s">
        <v>694</v>
      </c>
      <c r="J173" s="39" t="s">
        <v>693</v>
      </c>
      <c r="K173" s="21">
        <v>1</v>
      </c>
      <c r="L173" s="134">
        <f>354*K173</f>
        <v>354</v>
      </c>
    </row>
    <row r="174" spans="1:12" ht="30" customHeight="1" x14ac:dyDescent="0.25">
      <c r="A174" s="621"/>
      <c r="B174" s="597"/>
      <c r="C174" s="578"/>
      <c r="D174" s="380"/>
      <c r="E174" s="379"/>
      <c r="F174" s="378"/>
      <c r="G174" s="378"/>
      <c r="H174" s="578"/>
      <c r="I174" s="175" t="s">
        <v>725</v>
      </c>
      <c r="J174" s="247" t="s">
        <v>726</v>
      </c>
      <c r="K174" s="199">
        <v>1</v>
      </c>
      <c r="L174" s="177">
        <f>2362*K174</f>
        <v>2362</v>
      </c>
    </row>
    <row r="175" spans="1:12" ht="30" customHeight="1" thickBot="1" x14ac:dyDescent="0.3">
      <c r="A175" s="621"/>
      <c r="B175" s="598"/>
      <c r="C175" s="583"/>
      <c r="D175" s="448"/>
      <c r="E175" s="450"/>
      <c r="F175" s="440"/>
      <c r="G175" s="440"/>
      <c r="H175" s="583"/>
      <c r="I175" s="143" t="s">
        <v>774</v>
      </c>
      <c r="J175" s="282" t="s">
        <v>787</v>
      </c>
      <c r="K175" s="248">
        <v>1</v>
      </c>
      <c r="L175" s="144">
        <f>1535*K175</f>
        <v>1535</v>
      </c>
    </row>
    <row r="176" spans="1:12" ht="30" customHeight="1" x14ac:dyDescent="0.25">
      <c r="A176" s="621"/>
      <c r="B176" s="596">
        <v>5</v>
      </c>
      <c r="C176" s="599">
        <v>45072</v>
      </c>
      <c r="D176" s="447">
        <v>2023052400012</v>
      </c>
      <c r="E176" s="449" t="s">
        <v>454</v>
      </c>
      <c r="F176" s="439" t="s">
        <v>776</v>
      </c>
      <c r="G176" s="439" t="s">
        <v>754</v>
      </c>
      <c r="H176" s="577">
        <v>45075</v>
      </c>
      <c r="I176" s="141" t="s">
        <v>699</v>
      </c>
      <c r="J176" s="238" t="s">
        <v>704</v>
      </c>
      <c r="K176" s="186">
        <v>100</v>
      </c>
      <c r="L176" s="142">
        <f>47*K176</f>
        <v>4700</v>
      </c>
    </row>
    <row r="177" spans="1:12" ht="30" customHeight="1" x14ac:dyDescent="0.25">
      <c r="A177" s="621"/>
      <c r="B177" s="597"/>
      <c r="C177" s="600"/>
      <c r="D177" s="380"/>
      <c r="E177" s="379"/>
      <c r="F177" s="378"/>
      <c r="G177" s="378"/>
      <c r="H177" s="578"/>
      <c r="I177" s="133" t="s">
        <v>700</v>
      </c>
      <c r="J177" s="179" t="s">
        <v>704</v>
      </c>
      <c r="K177" s="22">
        <v>8</v>
      </c>
      <c r="L177" s="134">
        <f>51*K177</f>
        <v>408</v>
      </c>
    </row>
    <row r="178" spans="1:12" ht="40.049999999999997" customHeight="1" thickBot="1" x14ac:dyDescent="0.3">
      <c r="A178" s="622"/>
      <c r="B178" s="598"/>
      <c r="C178" s="601"/>
      <c r="D178" s="448"/>
      <c r="E178" s="450"/>
      <c r="F178" s="440"/>
      <c r="G178" s="440"/>
      <c r="H178" s="583"/>
      <c r="I178" s="143" t="s">
        <v>702</v>
      </c>
      <c r="J178" s="282" t="s">
        <v>705</v>
      </c>
      <c r="K178" s="248">
        <v>1</v>
      </c>
      <c r="L178" s="144">
        <f>299*K178</f>
        <v>299</v>
      </c>
    </row>
    <row r="179" spans="1:12" ht="40.049999999999997" customHeight="1" x14ac:dyDescent="0.25">
      <c r="A179" s="621">
        <v>7</v>
      </c>
      <c r="B179" s="596">
        <v>6</v>
      </c>
      <c r="C179" s="434">
        <v>45072</v>
      </c>
      <c r="D179" s="447">
        <v>2023053000003</v>
      </c>
      <c r="E179" s="449" t="s">
        <v>454</v>
      </c>
      <c r="F179" s="439" t="s">
        <v>777</v>
      </c>
      <c r="G179" s="439" t="s">
        <v>778</v>
      </c>
      <c r="H179" s="434">
        <v>45075</v>
      </c>
      <c r="I179" s="141" t="s">
        <v>699</v>
      </c>
      <c r="J179" s="238" t="s">
        <v>704</v>
      </c>
      <c r="K179" s="186">
        <v>100</v>
      </c>
      <c r="L179" s="142">
        <f>47*K179</f>
        <v>4700</v>
      </c>
    </row>
    <row r="180" spans="1:12" ht="40.049999999999997" customHeight="1" thickBot="1" x14ac:dyDescent="0.3">
      <c r="A180" s="621"/>
      <c r="B180" s="598"/>
      <c r="C180" s="435"/>
      <c r="D180" s="448"/>
      <c r="E180" s="450"/>
      <c r="F180" s="440"/>
      <c r="G180" s="440"/>
      <c r="H180" s="435"/>
      <c r="I180" s="143" t="s">
        <v>700</v>
      </c>
      <c r="J180" s="282" t="s">
        <v>704</v>
      </c>
      <c r="K180" s="248">
        <v>8</v>
      </c>
      <c r="L180" s="144">
        <f>51*K180</f>
        <v>408</v>
      </c>
    </row>
    <row r="181" spans="1:12" ht="40.049999999999997" customHeight="1" x14ac:dyDescent="0.25">
      <c r="A181" s="621"/>
      <c r="B181" s="596">
        <v>7</v>
      </c>
      <c r="C181" s="577">
        <v>45072</v>
      </c>
      <c r="D181" s="447">
        <v>2023052900010</v>
      </c>
      <c r="E181" s="449" t="s">
        <v>454</v>
      </c>
      <c r="F181" s="439" t="s">
        <v>779</v>
      </c>
      <c r="G181" s="439" t="s">
        <v>780</v>
      </c>
      <c r="H181" s="577">
        <v>45075</v>
      </c>
      <c r="I181" s="141" t="s">
        <v>699</v>
      </c>
      <c r="J181" s="238" t="s">
        <v>704</v>
      </c>
      <c r="K181" s="186">
        <v>100</v>
      </c>
      <c r="L181" s="142">
        <f>47*K181</f>
        <v>4700</v>
      </c>
    </row>
    <row r="182" spans="1:12" ht="40.049999999999997" customHeight="1" x14ac:dyDescent="0.25">
      <c r="A182" s="621"/>
      <c r="B182" s="597"/>
      <c r="C182" s="578"/>
      <c r="D182" s="380"/>
      <c r="E182" s="379"/>
      <c r="F182" s="378"/>
      <c r="G182" s="378"/>
      <c r="H182" s="578"/>
      <c r="I182" s="133" t="s">
        <v>700</v>
      </c>
      <c r="J182" s="179" t="s">
        <v>704</v>
      </c>
      <c r="K182" s="22">
        <v>8</v>
      </c>
      <c r="L182" s="134">
        <f>51*K182</f>
        <v>408</v>
      </c>
    </row>
    <row r="183" spans="1:12" ht="40.049999999999997" customHeight="1" x14ac:dyDescent="0.25">
      <c r="A183" s="621"/>
      <c r="B183" s="597"/>
      <c r="C183" s="578"/>
      <c r="D183" s="380"/>
      <c r="E183" s="379"/>
      <c r="F183" s="378"/>
      <c r="G183" s="378"/>
      <c r="H183" s="578"/>
      <c r="I183" s="133" t="s">
        <v>711</v>
      </c>
      <c r="J183" s="179" t="s">
        <v>696</v>
      </c>
      <c r="K183" s="22">
        <v>1</v>
      </c>
      <c r="L183" s="134">
        <f>512*K183</f>
        <v>512</v>
      </c>
    </row>
    <row r="184" spans="1:12" ht="40.049999999999997" customHeight="1" thickBot="1" x14ac:dyDescent="0.3">
      <c r="A184" s="621"/>
      <c r="B184" s="598"/>
      <c r="C184" s="583"/>
      <c r="D184" s="448"/>
      <c r="E184" s="450"/>
      <c r="F184" s="440"/>
      <c r="G184" s="440"/>
      <c r="H184" s="583"/>
      <c r="I184" s="143" t="s">
        <v>702</v>
      </c>
      <c r="J184" s="282" t="s">
        <v>705</v>
      </c>
      <c r="K184" s="248">
        <v>1</v>
      </c>
      <c r="L184" s="144">
        <f>299*K184</f>
        <v>299</v>
      </c>
    </row>
    <row r="185" spans="1:12" ht="40.049999999999997" customHeight="1" x14ac:dyDescent="0.25">
      <c r="A185" s="621"/>
      <c r="B185" s="596">
        <v>8</v>
      </c>
      <c r="C185" s="599">
        <v>45072</v>
      </c>
      <c r="D185" s="447">
        <v>2023052400015</v>
      </c>
      <c r="E185" s="449" t="s">
        <v>454</v>
      </c>
      <c r="F185" s="439" t="s">
        <v>781</v>
      </c>
      <c r="G185" s="439" t="s">
        <v>762</v>
      </c>
      <c r="H185" s="577">
        <v>45075</v>
      </c>
      <c r="I185" s="141" t="s">
        <v>699</v>
      </c>
      <c r="J185" s="238" t="s">
        <v>704</v>
      </c>
      <c r="K185" s="186">
        <v>100</v>
      </c>
      <c r="L185" s="142">
        <f>47*K185</f>
        <v>4700</v>
      </c>
    </row>
    <row r="186" spans="1:12" ht="40.049999999999997" customHeight="1" x14ac:dyDescent="0.25">
      <c r="A186" s="621"/>
      <c r="B186" s="597"/>
      <c r="C186" s="600"/>
      <c r="D186" s="380"/>
      <c r="E186" s="379"/>
      <c r="F186" s="378"/>
      <c r="G186" s="378"/>
      <c r="H186" s="578"/>
      <c r="I186" s="133" t="s">
        <v>700</v>
      </c>
      <c r="J186" s="179" t="s">
        <v>704</v>
      </c>
      <c r="K186" s="22">
        <v>8</v>
      </c>
      <c r="L186" s="134">
        <f>51*K186</f>
        <v>408</v>
      </c>
    </row>
    <row r="187" spans="1:12" ht="40.049999999999997" customHeight="1" thickBot="1" x14ac:dyDescent="0.3">
      <c r="A187" s="621"/>
      <c r="B187" s="598"/>
      <c r="C187" s="601"/>
      <c r="D187" s="448"/>
      <c r="E187" s="450"/>
      <c r="F187" s="440"/>
      <c r="G187" s="440"/>
      <c r="H187" s="583"/>
      <c r="I187" s="133" t="s">
        <v>711</v>
      </c>
      <c r="J187" s="179" t="s">
        <v>696</v>
      </c>
      <c r="K187" s="22">
        <v>1</v>
      </c>
      <c r="L187" s="134">
        <f>512*K187</f>
        <v>512</v>
      </c>
    </row>
    <row r="188" spans="1:12" ht="40.049999999999997" customHeight="1" x14ac:dyDescent="0.25">
      <c r="A188" s="621"/>
      <c r="B188" s="596">
        <v>9</v>
      </c>
      <c r="C188" s="599">
        <v>45072</v>
      </c>
      <c r="D188" s="447">
        <v>2023052500001</v>
      </c>
      <c r="E188" s="449" t="s">
        <v>454</v>
      </c>
      <c r="F188" s="439" t="s">
        <v>782</v>
      </c>
      <c r="G188" s="439" t="s">
        <v>754</v>
      </c>
      <c r="H188" s="577">
        <v>45075</v>
      </c>
      <c r="I188" s="141" t="s">
        <v>699</v>
      </c>
      <c r="J188" s="238" t="s">
        <v>704</v>
      </c>
      <c r="K188" s="186">
        <v>100</v>
      </c>
      <c r="L188" s="142">
        <f>47*K188</f>
        <v>4700</v>
      </c>
    </row>
    <row r="189" spans="1:12" ht="40.049999999999997" customHeight="1" x14ac:dyDescent="0.25">
      <c r="A189" s="621"/>
      <c r="B189" s="597"/>
      <c r="C189" s="600"/>
      <c r="D189" s="380"/>
      <c r="E189" s="379"/>
      <c r="F189" s="378"/>
      <c r="G189" s="378"/>
      <c r="H189" s="578"/>
      <c r="I189" s="133" t="s">
        <v>700</v>
      </c>
      <c r="J189" s="179" t="s">
        <v>704</v>
      </c>
      <c r="K189" s="22">
        <v>8</v>
      </c>
      <c r="L189" s="134">
        <f>51*K189</f>
        <v>408</v>
      </c>
    </row>
    <row r="190" spans="1:12" ht="40.049999999999997" customHeight="1" thickBot="1" x14ac:dyDescent="0.3">
      <c r="A190" s="621"/>
      <c r="B190" s="598"/>
      <c r="C190" s="601"/>
      <c r="D190" s="448"/>
      <c r="E190" s="450"/>
      <c r="F190" s="440"/>
      <c r="G190" s="440"/>
      <c r="H190" s="583"/>
      <c r="I190" s="143" t="s">
        <v>702</v>
      </c>
      <c r="J190" s="282" t="s">
        <v>705</v>
      </c>
      <c r="K190" s="248">
        <v>1</v>
      </c>
      <c r="L190" s="144">
        <f>299*K190</f>
        <v>299</v>
      </c>
    </row>
    <row r="191" spans="1:12" ht="40.049999999999997" customHeight="1" x14ac:dyDescent="0.25">
      <c r="A191" s="621"/>
      <c r="B191" s="596">
        <v>10</v>
      </c>
      <c r="C191" s="577">
        <v>45072</v>
      </c>
      <c r="D191" s="447">
        <v>2023052500002</v>
      </c>
      <c r="E191" s="449" t="s">
        <v>454</v>
      </c>
      <c r="F191" s="439" t="s">
        <v>783</v>
      </c>
      <c r="G191" s="439" t="s">
        <v>784</v>
      </c>
      <c r="H191" s="577">
        <v>45075</v>
      </c>
      <c r="I191" s="141" t="s">
        <v>951</v>
      </c>
      <c r="J191" s="238" t="s">
        <v>952</v>
      </c>
      <c r="K191" s="186">
        <v>100</v>
      </c>
      <c r="L191" s="142">
        <f>47*K191</f>
        <v>4700</v>
      </c>
    </row>
    <row r="192" spans="1:12" ht="40.049999999999997" customHeight="1" x14ac:dyDescent="0.25">
      <c r="A192" s="621"/>
      <c r="B192" s="597"/>
      <c r="C192" s="578"/>
      <c r="D192" s="380"/>
      <c r="E192" s="379"/>
      <c r="F192" s="378"/>
      <c r="G192" s="378"/>
      <c r="H192" s="578"/>
      <c r="I192" s="133" t="s">
        <v>700</v>
      </c>
      <c r="J192" s="179" t="s">
        <v>704</v>
      </c>
      <c r="K192" s="22">
        <v>8</v>
      </c>
      <c r="L192" s="134">
        <f>51*K192</f>
        <v>408</v>
      </c>
    </row>
    <row r="193" spans="1:12" ht="40.049999999999997" customHeight="1" x14ac:dyDescent="0.25">
      <c r="A193" s="621"/>
      <c r="B193" s="597"/>
      <c r="C193" s="578"/>
      <c r="D193" s="380"/>
      <c r="E193" s="379"/>
      <c r="F193" s="378"/>
      <c r="G193" s="378"/>
      <c r="H193" s="578"/>
      <c r="I193" s="133" t="s">
        <v>694</v>
      </c>
      <c r="J193" s="39" t="s">
        <v>693</v>
      </c>
      <c r="K193" s="21">
        <v>1</v>
      </c>
      <c r="L193" s="134">
        <f>354*K193</f>
        <v>354</v>
      </c>
    </row>
    <row r="194" spans="1:12" ht="40.049999999999997" customHeight="1" thickBot="1" x14ac:dyDescent="0.3">
      <c r="A194" s="621"/>
      <c r="B194" s="598"/>
      <c r="C194" s="583"/>
      <c r="D194" s="448"/>
      <c r="E194" s="450"/>
      <c r="F194" s="440"/>
      <c r="G194" s="440"/>
      <c r="H194" s="583"/>
      <c r="I194" s="143" t="s">
        <v>702</v>
      </c>
      <c r="J194" s="282" t="s">
        <v>705</v>
      </c>
      <c r="K194" s="248">
        <v>2</v>
      </c>
      <c r="L194" s="144">
        <f>299*K194</f>
        <v>598</v>
      </c>
    </row>
    <row r="195" spans="1:12" ht="40.049999999999997" customHeight="1" x14ac:dyDescent="0.25">
      <c r="A195" s="621"/>
      <c r="B195" s="596">
        <v>11</v>
      </c>
      <c r="C195" s="577">
        <v>45072</v>
      </c>
      <c r="D195" s="447">
        <v>2023053000004</v>
      </c>
      <c r="E195" s="449" t="s">
        <v>454</v>
      </c>
      <c r="F195" s="439" t="s">
        <v>785</v>
      </c>
      <c r="G195" s="439" t="s">
        <v>786</v>
      </c>
      <c r="H195" s="577">
        <v>45075</v>
      </c>
      <c r="I195" s="141" t="s">
        <v>699</v>
      </c>
      <c r="J195" s="238" t="s">
        <v>704</v>
      </c>
      <c r="K195" s="186">
        <v>100</v>
      </c>
      <c r="L195" s="142">
        <f>47*K195</f>
        <v>4700</v>
      </c>
    </row>
    <row r="196" spans="1:12" ht="40.049999999999997" customHeight="1" x14ac:dyDescent="0.25">
      <c r="A196" s="621"/>
      <c r="B196" s="597"/>
      <c r="C196" s="578"/>
      <c r="D196" s="380"/>
      <c r="E196" s="379"/>
      <c r="F196" s="378"/>
      <c r="G196" s="378"/>
      <c r="H196" s="578"/>
      <c r="I196" s="133" t="s">
        <v>700</v>
      </c>
      <c r="J196" s="179" t="s">
        <v>704</v>
      </c>
      <c r="K196" s="22">
        <v>8</v>
      </c>
      <c r="L196" s="134">
        <f>51*K196</f>
        <v>408</v>
      </c>
    </row>
    <row r="197" spans="1:12" ht="40.049999999999997" customHeight="1" x14ac:dyDescent="0.25">
      <c r="A197" s="621"/>
      <c r="B197" s="597"/>
      <c r="C197" s="578"/>
      <c r="D197" s="380"/>
      <c r="E197" s="379"/>
      <c r="F197" s="378"/>
      <c r="G197" s="378"/>
      <c r="H197" s="578"/>
      <c r="I197" s="133" t="s">
        <v>709</v>
      </c>
      <c r="J197" s="179" t="s">
        <v>775</v>
      </c>
      <c r="K197" s="22">
        <v>1</v>
      </c>
      <c r="L197" s="134">
        <f>750*K197</f>
        <v>750</v>
      </c>
    </row>
    <row r="198" spans="1:12" ht="40.049999999999997" customHeight="1" thickBot="1" x14ac:dyDescent="0.3">
      <c r="A198" s="621"/>
      <c r="B198" s="598"/>
      <c r="C198" s="583"/>
      <c r="D198" s="448"/>
      <c r="E198" s="450"/>
      <c r="F198" s="440"/>
      <c r="G198" s="440"/>
      <c r="H198" s="583"/>
      <c r="I198" s="133" t="s">
        <v>788</v>
      </c>
      <c r="J198" s="39" t="s">
        <v>693</v>
      </c>
      <c r="K198" s="21">
        <v>1</v>
      </c>
      <c r="L198" s="134">
        <f>3375*K198</f>
        <v>3375</v>
      </c>
    </row>
    <row r="199" spans="1:12" ht="40.049999999999997" customHeight="1" x14ac:dyDescent="0.25">
      <c r="A199" s="621"/>
      <c r="B199" s="596">
        <v>12</v>
      </c>
      <c r="C199" s="599">
        <v>45072</v>
      </c>
      <c r="D199" s="447">
        <v>2023052500003</v>
      </c>
      <c r="E199" s="449" t="s">
        <v>454</v>
      </c>
      <c r="F199" s="439" t="s">
        <v>789</v>
      </c>
      <c r="G199" s="439" t="s">
        <v>790</v>
      </c>
      <c r="H199" s="577">
        <v>45075</v>
      </c>
      <c r="I199" s="141" t="s">
        <v>699</v>
      </c>
      <c r="J199" s="238" t="s">
        <v>704</v>
      </c>
      <c r="K199" s="186">
        <v>100</v>
      </c>
      <c r="L199" s="142">
        <f>47*K199</f>
        <v>4700</v>
      </c>
    </row>
    <row r="200" spans="1:12" ht="40.049999999999997" customHeight="1" x14ac:dyDescent="0.25">
      <c r="A200" s="621"/>
      <c r="B200" s="597"/>
      <c r="C200" s="600"/>
      <c r="D200" s="380"/>
      <c r="E200" s="379"/>
      <c r="F200" s="378"/>
      <c r="G200" s="378"/>
      <c r="H200" s="578"/>
      <c r="I200" s="133" t="s">
        <v>700</v>
      </c>
      <c r="J200" s="179" t="s">
        <v>704</v>
      </c>
      <c r="K200" s="22">
        <v>8</v>
      </c>
      <c r="L200" s="134">
        <f>51*K200</f>
        <v>408</v>
      </c>
    </row>
    <row r="201" spans="1:12" ht="40.049999999999997" customHeight="1" thickBot="1" x14ac:dyDescent="0.3">
      <c r="A201" s="622"/>
      <c r="B201" s="598"/>
      <c r="C201" s="601"/>
      <c r="D201" s="448"/>
      <c r="E201" s="450"/>
      <c r="F201" s="440"/>
      <c r="G201" s="440"/>
      <c r="H201" s="583"/>
      <c r="I201" s="143" t="s">
        <v>702</v>
      </c>
      <c r="J201" s="282" t="s">
        <v>705</v>
      </c>
      <c r="K201" s="248">
        <v>1</v>
      </c>
      <c r="L201" s="144">
        <f>299*K201</f>
        <v>299</v>
      </c>
    </row>
    <row r="202" spans="1:12" ht="30" customHeight="1" x14ac:dyDescent="0.25">
      <c r="A202" s="620">
        <v>7</v>
      </c>
      <c r="B202" s="585" t="s">
        <v>799</v>
      </c>
      <c r="C202" s="585"/>
      <c r="D202" s="585"/>
      <c r="E202" s="585"/>
      <c r="F202" s="585"/>
      <c r="G202" s="585"/>
      <c r="H202" s="586"/>
      <c r="I202" s="277" t="s">
        <v>617</v>
      </c>
      <c r="J202" s="278" t="s">
        <v>704</v>
      </c>
      <c r="K202" s="279">
        <f>K160+K164+K168+K171+K176+K179+K181+K185+K188+K191+K195+K199</f>
        <v>1210</v>
      </c>
      <c r="L202" s="280"/>
    </row>
    <row r="203" spans="1:12" ht="30" customHeight="1" x14ac:dyDescent="0.25">
      <c r="A203" s="621"/>
      <c r="B203" s="507"/>
      <c r="C203" s="507"/>
      <c r="D203" s="507"/>
      <c r="E203" s="507"/>
      <c r="F203" s="507"/>
      <c r="G203" s="507"/>
      <c r="H203" s="508"/>
      <c r="I203" s="260" t="s">
        <v>619</v>
      </c>
      <c r="J203" s="261" t="s">
        <v>704</v>
      </c>
      <c r="K203" s="262">
        <f>K161+K165+K169+K172+K177+K182+K180+K186+K189+K192+K196+K200</f>
        <v>104</v>
      </c>
      <c r="L203" s="198"/>
    </row>
    <row r="204" spans="1:12" ht="30" customHeight="1" x14ac:dyDescent="0.25">
      <c r="A204" s="621"/>
      <c r="B204" s="507"/>
      <c r="C204" s="507"/>
      <c r="D204" s="507"/>
      <c r="E204" s="507"/>
      <c r="F204" s="507"/>
      <c r="G204" s="507"/>
      <c r="H204" s="508"/>
      <c r="I204" s="260" t="s">
        <v>598</v>
      </c>
      <c r="J204" s="263" t="s">
        <v>595</v>
      </c>
      <c r="K204" s="264" t="str">
        <f>K162</f>
        <v>1</v>
      </c>
      <c r="L204" s="198"/>
    </row>
    <row r="205" spans="1:12" ht="30" customHeight="1" x14ac:dyDescent="0.25">
      <c r="A205" s="621"/>
      <c r="B205" s="507"/>
      <c r="C205" s="507"/>
      <c r="D205" s="507"/>
      <c r="E205" s="507"/>
      <c r="F205" s="507"/>
      <c r="G205" s="507"/>
      <c r="H205" s="508"/>
      <c r="I205" s="260" t="s">
        <v>599</v>
      </c>
      <c r="J205" s="263" t="s">
        <v>597</v>
      </c>
      <c r="K205" s="264">
        <f>K163+K197</f>
        <v>2</v>
      </c>
      <c r="L205" s="198"/>
    </row>
    <row r="206" spans="1:12" ht="30" customHeight="1" x14ac:dyDescent="0.25">
      <c r="A206" s="621"/>
      <c r="B206" s="507"/>
      <c r="C206" s="507"/>
      <c r="D206" s="507"/>
      <c r="E206" s="507"/>
      <c r="F206" s="507"/>
      <c r="G206" s="507"/>
      <c r="H206" s="508"/>
      <c r="I206" s="260" t="s">
        <v>788</v>
      </c>
      <c r="J206" s="263" t="s">
        <v>600</v>
      </c>
      <c r="K206" s="264">
        <f>K198</f>
        <v>1</v>
      </c>
      <c r="L206" s="198"/>
    </row>
    <row r="207" spans="1:12" ht="30" customHeight="1" x14ac:dyDescent="0.25">
      <c r="A207" s="621"/>
      <c r="B207" s="507"/>
      <c r="C207" s="507"/>
      <c r="D207" s="507"/>
      <c r="E207" s="507"/>
      <c r="F207" s="507"/>
      <c r="G207" s="507"/>
      <c r="H207" s="508"/>
      <c r="I207" s="260" t="s">
        <v>620</v>
      </c>
      <c r="J207" s="261" t="s">
        <v>621</v>
      </c>
      <c r="K207" s="262">
        <f>K166+K183+K187</f>
        <v>3</v>
      </c>
      <c r="L207" s="198"/>
    </row>
    <row r="208" spans="1:12" ht="30" customHeight="1" x14ac:dyDescent="0.25">
      <c r="A208" s="621"/>
      <c r="B208" s="507"/>
      <c r="C208" s="507"/>
      <c r="D208" s="507"/>
      <c r="E208" s="507"/>
      <c r="F208" s="507"/>
      <c r="G208" s="507"/>
      <c r="H208" s="508"/>
      <c r="I208" s="260" t="s">
        <v>628</v>
      </c>
      <c r="J208" s="263" t="s">
        <v>600</v>
      </c>
      <c r="K208" s="264">
        <f>K173+K193</f>
        <v>2</v>
      </c>
      <c r="L208" s="198"/>
    </row>
    <row r="209" spans="1:16" ht="30" customHeight="1" x14ac:dyDescent="0.25">
      <c r="A209" s="621"/>
      <c r="B209" s="507"/>
      <c r="C209" s="507"/>
      <c r="D209" s="507"/>
      <c r="E209" s="507"/>
      <c r="F209" s="507"/>
      <c r="G209" s="507"/>
      <c r="H209" s="508"/>
      <c r="I209" s="260" t="s">
        <v>603</v>
      </c>
      <c r="J209" s="261" t="s">
        <v>604</v>
      </c>
      <c r="K209" s="262">
        <f>K167+K170+K178+K184+K190+K194+K201</f>
        <v>10</v>
      </c>
      <c r="L209" s="198"/>
    </row>
    <row r="210" spans="1:16" ht="30" customHeight="1" x14ac:dyDescent="0.25">
      <c r="A210" s="621"/>
      <c r="B210" s="507"/>
      <c r="C210" s="507"/>
      <c r="D210" s="507"/>
      <c r="E210" s="507"/>
      <c r="F210" s="507"/>
      <c r="G210" s="507"/>
      <c r="H210" s="508"/>
      <c r="I210" s="260" t="s">
        <v>725</v>
      </c>
      <c r="J210" s="261" t="s">
        <v>726</v>
      </c>
      <c r="K210" s="262">
        <f>K174</f>
        <v>1</v>
      </c>
      <c r="L210" s="198"/>
    </row>
    <row r="211" spans="1:16" ht="30" customHeight="1" thickBot="1" x14ac:dyDescent="0.3">
      <c r="A211" s="622"/>
      <c r="B211" s="552"/>
      <c r="C211" s="552"/>
      <c r="D211" s="552"/>
      <c r="E211" s="552"/>
      <c r="F211" s="552"/>
      <c r="G211" s="552"/>
      <c r="H211" s="553"/>
      <c r="I211" s="271" t="s">
        <v>606</v>
      </c>
      <c r="J211" s="272" t="s">
        <v>597</v>
      </c>
      <c r="K211" s="273">
        <f>K175</f>
        <v>1</v>
      </c>
      <c r="L211" s="249"/>
    </row>
    <row r="212" spans="1:16" ht="40.049999999999997" customHeight="1" x14ac:dyDescent="0.25">
      <c r="A212" s="627">
        <v>8</v>
      </c>
      <c r="B212" s="602">
        <v>1</v>
      </c>
      <c r="C212" s="577">
        <v>45072</v>
      </c>
      <c r="D212" s="447">
        <v>2023052500004</v>
      </c>
      <c r="E212" s="449" t="s">
        <v>454</v>
      </c>
      <c r="F212" s="439" t="s">
        <v>791</v>
      </c>
      <c r="G212" s="439" t="s">
        <v>792</v>
      </c>
      <c r="H212" s="577">
        <v>45075</v>
      </c>
      <c r="I212" s="141" t="s">
        <v>699</v>
      </c>
      <c r="J212" s="238" t="s">
        <v>704</v>
      </c>
      <c r="K212" s="186">
        <v>100</v>
      </c>
      <c r="L212" s="142">
        <f>47*K212</f>
        <v>4700</v>
      </c>
    </row>
    <row r="213" spans="1:16" ht="40.049999999999997" customHeight="1" x14ac:dyDescent="0.25">
      <c r="A213" s="628"/>
      <c r="B213" s="603"/>
      <c r="C213" s="578"/>
      <c r="D213" s="380"/>
      <c r="E213" s="379"/>
      <c r="F213" s="378"/>
      <c r="G213" s="378"/>
      <c r="H213" s="578"/>
      <c r="I213" s="133" t="s">
        <v>700</v>
      </c>
      <c r="J213" s="179" t="s">
        <v>704</v>
      </c>
      <c r="K213" s="22">
        <v>8</v>
      </c>
      <c r="L213" s="134">
        <f>51*K213</f>
        <v>408</v>
      </c>
    </row>
    <row r="214" spans="1:16" ht="40.049999999999997" customHeight="1" x14ac:dyDescent="0.25">
      <c r="A214" s="628"/>
      <c r="B214" s="603"/>
      <c r="C214" s="578"/>
      <c r="D214" s="380"/>
      <c r="E214" s="379"/>
      <c r="F214" s="378"/>
      <c r="G214" s="378"/>
      <c r="H214" s="578"/>
      <c r="I214" s="133" t="s">
        <v>708</v>
      </c>
      <c r="J214" s="39" t="s">
        <v>595</v>
      </c>
      <c r="K214" s="21" t="s">
        <v>596</v>
      </c>
      <c r="L214" s="134">
        <f>9845*K214</f>
        <v>9845</v>
      </c>
    </row>
    <row r="215" spans="1:16" ht="40.049999999999997" customHeight="1" thickBot="1" x14ac:dyDescent="0.3">
      <c r="A215" s="629"/>
      <c r="B215" s="604"/>
      <c r="C215" s="583"/>
      <c r="D215" s="448"/>
      <c r="E215" s="450"/>
      <c r="F215" s="440"/>
      <c r="G215" s="440"/>
      <c r="H215" s="583"/>
      <c r="I215" s="143" t="s">
        <v>709</v>
      </c>
      <c r="J215" s="44" t="s">
        <v>597</v>
      </c>
      <c r="K215" s="243" t="s">
        <v>596</v>
      </c>
      <c r="L215" s="144">
        <f>750*K215</f>
        <v>750</v>
      </c>
    </row>
    <row r="216" spans="1:16" ht="40.049999999999997" customHeight="1" x14ac:dyDescent="0.25">
      <c r="A216" s="627">
        <v>8</v>
      </c>
      <c r="B216" s="602">
        <v>2</v>
      </c>
      <c r="C216" s="577">
        <v>45072</v>
      </c>
      <c r="D216" s="447">
        <v>2023052500005</v>
      </c>
      <c r="E216" s="449" t="s">
        <v>454</v>
      </c>
      <c r="F216" s="439" t="s">
        <v>794</v>
      </c>
      <c r="G216" s="439" t="s">
        <v>793</v>
      </c>
      <c r="H216" s="577">
        <v>45075</v>
      </c>
      <c r="I216" s="141" t="s">
        <v>699</v>
      </c>
      <c r="J216" s="238" t="s">
        <v>704</v>
      </c>
      <c r="K216" s="186">
        <v>140</v>
      </c>
      <c r="L216" s="142">
        <f>47*K216</f>
        <v>6580</v>
      </c>
    </row>
    <row r="217" spans="1:16" ht="40.049999999999997" customHeight="1" x14ac:dyDescent="0.25">
      <c r="A217" s="628"/>
      <c r="B217" s="603"/>
      <c r="C217" s="578"/>
      <c r="D217" s="380"/>
      <c r="E217" s="379"/>
      <c r="F217" s="378"/>
      <c r="G217" s="378"/>
      <c r="H217" s="578"/>
      <c r="I217" s="133" t="s">
        <v>700</v>
      </c>
      <c r="J217" s="179" t="s">
        <v>704</v>
      </c>
      <c r="K217" s="22">
        <v>6</v>
      </c>
      <c r="L217" s="134">
        <f>51*K217</f>
        <v>306</v>
      </c>
    </row>
    <row r="218" spans="1:16" ht="40.049999999999997" customHeight="1" x14ac:dyDescent="0.25">
      <c r="A218" s="628"/>
      <c r="B218" s="603"/>
      <c r="C218" s="578"/>
      <c r="D218" s="380"/>
      <c r="E218" s="379"/>
      <c r="F218" s="378"/>
      <c r="G218" s="378"/>
      <c r="H218" s="578"/>
      <c r="I218" s="133" t="s">
        <v>708</v>
      </c>
      <c r="J218" s="39" t="s">
        <v>595</v>
      </c>
      <c r="K218" s="21" t="s">
        <v>596</v>
      </c>
      <c r="L218" s="134">
        <f>9845*K218</f>
        <v>9845</v>
      </c>
    </row>
    <row r="219" spans="1:16" ht="40.049999999999997" customHeight="1" x14ac:dyDescent="0.25">
      <c r="A219" s="628"/>
      <c r="B219" s="603"/>
      <c r="C219" s="578"/>
      <c r="D219" s="380"/>
      <c r="E219" s="379"/>
      <c r="F219" s="378"/>
      <c r="G219" s="378"/>
      <c r="H219" s="578"/>
      <c r="I219" s="133" t="s">
        <v>709</v>
      </c>
      <c r="J219" s="39" t="s">
        <v>597</v>
      </c>
      <c r="K219" s="21" t="s">
        <v>596</v>
      </c>
      <c r="L219" s="134">
        <f>750*K219</f>
        <v>750</v>
      </c>
    </row>
    <row r="220" spans="1:16" ht="30" customHeight="1" x14ac:dyDescent="0.25">
      <c r="A220" s="628"/>
      <c r="B220" s="603"/>
      <c r="C220" s="578"/>
      <c r="D220" s="380"/>
      <c r="E220" s="379"/>
      <c r="F220" s="378"/>
      <c r="G220" s="378"/>
      <c r="H220" s="578"/>
      <c r="I220" s="133" t="s">
        <v>711</v>
      </c>
      <c r="J220" s="179" t="s">
        <v>696</v>
      </c>
      <c r="K220" s="22">
        <v>1</v>
      </c>
      <c r="L220" s="134">
        <f>512*K220</f>
        <v>512</v>
      </c>
    </row>
    <row r="221" spans="1:16" ht="30" customHeight="1" thickBot="1" x14ac:dyDescent="0.3">
      <c r="A221" s="628"/>
      <c r="B221" s="604"/>
      <c r="C221" s="583"/>
      <c r="D221" s="448"/>
      <c r="E221" s="450"/>
      <c r="F221" s="440"/>
      <c r="G221" s="440"/>
      <c r="H221" s="583"/>
      <c r="I221" s="143" t="s">
        <v>703</v>
      </c>
      <c r="J221" s="282" t="s">
        <v>696</v>
      </c>
      <c r="K221" s="243">
        <v>1</v>
      </c>
      <c r="L221" s="144">
        <f>1181*K221</f>
        <v>1181</v>
      </c>
    </row>
    <row r="222" spans="1:16" ht="30" customHeight="1" x14ac:dyDescent="0.25">
      <c r="A222" s="628"/>
      <c r="B222" s="602">
        <v>3</v>
      </c>
      <c r="C222" s="434">
        <v>45072</v>
      </c>
      <c r="D222" s="447">
        <v>2023053000005</v>
      </c>
      <c r="E222" s="449" t="s">
        <v>454</v>
      </c>
      <c r="F222" s="439" t="s">
        <v>795</v>
      </c>
      <c r="G222" s="439" t="s">
        <v>736</v>
      </c>
      <c r="H222" s="434">
        <v>45075</v>
      </c>
      <c r="I222" s="141" t="s">
        <v>699</v>
      </c>
      <c r="J222" s="238" t="s">
        <v>704</v>
      </c>
      <c r="K222" s="186">
        <v>120</v>
      </c>
      <c r="L222" s="142">
        <f>47*K222</f>
        <v>5640</v>
      </c>
    </row>
    <row r="223" spans="1:16" ht="30" customHeight="1" thickBot="1" x14ac:dyDescent="0.3">
      <c r="A223" s="628"/>
      <c r="B223" s="604"/>
      <c r="C223" s="435"/>
      <c r="D223" s="448"/>
      <c r="E223" s="450"/>
      <c r="F223" s="440"/>
      <c r="G223" s="440"/>
      <c r="H223" s="435"/>
      <c r="I223" s="143" t="s">
        <v>700</v>
      </c>
      <c r="J223" s="282" t="s">
        <v>704</v>
      </c>
      <c r="K223" s="248">
        <v>8</v>
      </c>
      <c r="L223" s="144">
        <f>51*K223</f>
        <v>408</v>
      </c>
    </row>
    <row r="224" spans="1:16" ht="30" customHeight="1" thickTop="1" x14ac:dyDescent="0.25">
      <c r="A224" s="628"/>
      <c r="B224" s="623" t="s">
        <v>800</v>
      </c>
      <c r="C224" s="615"/>
      <c r="D224" s="615"/>
      <c r="E224" s="615"/>
      <c r="F224" s="615"/>
      <c r="G224" s="615"/>
      <c r="H224" s="616"/>
      <c r="I224" s="265" t="s">
        <v>617</v>
      </c>
      <c r="J224" s="266" t="s">
        <v>704</v>
      </c>
      <c r="K224" s="267">
        <f>K212+K216+K222</f>
        <v>360</v>
      </c>
      <c r="L224" s="212"/>
      <c r="N224" s="260" t="s">
        <v>788</v>
      </c>
      <c r="O224" s="263" t="s">
        <v>600</v>
      </c>
      <c r="P224" s="264">
        <f>K206</f>
        <v>1</v>
      </c>
    </row>
    <row r="225" spans="1:16" ht="30" customHeight="1" x14ac:dyDescent="0.25">
      <c r="A225" s="628"/>
      <c r="B225" s="507"/>
      <c r="C225" s="507"/>
      <c r="D225" s="507"/>
      <c r="E225" s="507"/>
      <c r="F225" s="507"/>
      <c r="G225" s="507"/>
      <c r="H225" s="508"/>
      <c r="I225" s="260" t="s">
        <v>619</v>
      </c>
      <c r="J225" s="261" t="s">
        <v>704</v>
      </c>
      <c r="K225" s="262">
        <f>K213+K217+K223</f>
        <v>22</v>
      </c>
      <c r="L225" s="251"/>
    </row>
    <row r="226" spans="1:16" ht="30" customHeight="1" x14ac:dyDescent="0.25">
      <c r="A226" s="628"/>
      <c r="B226" s="507"/>
      <c r="C226" s="507"/>
      <c r="D226" s="507"/>
      <c r="E226" s="507"/>
      <c r="F226" s="507"/>
      <c r="G226" s="507"/>
      <c r="H226" s="508"/>
      <c r="I226" s="260" t="s">
        <v>598</v>
      </c>
      <c r="J226" s="263" t="s">
        <v>595</v>
      </c>
      <c r="K226" s="264">
        <f>K214+K218</f>
        <v>2</v>
      </c>
      <c r="L226" s="251"/>
    </row>
    <row r="227" spans="1:16" ht="30" customHeight="1" x14ac:dyDescent="0.25">
      <c r="A227" s="628"/>
      <c r="B227" s="507"/>
      <c r="C227" s="507"/>
      <c r="D227" s="507"/>
      <c r="E227" s="507"/>
      <c r="F227" s="507"/>
      <c r="G227" s="507"/>
      <c r="H227" s="508"/>
      <c r="I227" s="260" t="s">
        <v>599</v>
      </c>
      <c r="J227" s="263" t="s">
        <v>597</v>
      </c>
      <c r="K227" s="264">
        <f>K215+K219</f>
        <v>2</v>
      </c>
      <c r="L227" s="251"/>
    </row>
    <row r="228" spans="1:16" ht="30" customHeight="1" x14ac:dyDescent="0.25">
      <c r="A228" s="628"/>
      <c r="B228" s="507"/>
      <c r="C228" s="507"/>
      <c r="D228" s="507"/>
      <c r="E228" s="507"/>
      <c r="F228" s="507"/>
      <c r="G228" s="507"/>
      <c r="H228" s="508"/>
      <c r="I228" s="260" t="s">
        <v>620</v>
      </c>
      <c r="J228" s="261" t="s">
        <v>621</v>
      </c>
      <c r="K228" s="262">
        <f>K220</f>
        <v>1</v>
      </c>
      <c r="L228" s="251"/>
    </row>
    <row r="229" spans="1:16" ht="30" customHeight="1" thickBot="1" x14ac:dyDescent="0.3">
      <c r="A229" s="629"/>
      <c r="B229" s="552"/>
      <c r="C229" s="552"/>
      <c r="D229" s="552"/>
      <c r="E229" s="552"/>
      <c r="F229" s="552"/>
      <c r="G229" s="552"/>
      <c r="H229" s="553"/>
      <c r="I229" s="271" t="s">
        <v>703</v>
      </c>
      <c r="J229" s="272" t="s">
        <v>621</v>
      </c>
      <c r="K229" s="273">
        <f>K221</f>
        <v>1</v>
      </c>
      <c r="L229" s="252"/>
      <c r="N229" s="271" t="s">
        <v>606</v>
      </c>
      <c r="O229" s="272" t="s">
        <v>597</v>
      </c>
      <c r="P229" s="273">
        <f>K211</f>
        <v>1</v>
      </c>
    </row>
  </sheetData>
  <autoFilter ref="A3:L211" xr:uid="{00000000-0009-0000-0000-000012000000}"/>
  <mergeCells count="323">
    <mergeCell ref="A160:A178"/>
    <mergeCell ref="A179:A201"/>
    <mergeCell ref="B224:H229"/>
    <mergeCell ref="B202:H211"/>
    <mergeCell ref="B153:H159"/>
    <mergeCell ref="A61:A72"/>
    <mergeCell ref="A73:A97"/>
    <mergeCell ref="A98:A116"/>
    <mergeCell ref="A117:A124"/>
    <mergeCell ref="A125:A150"/>
    <mergeCell ref="A151:A159"/>
    <mergeCell ref="A202:A211"/>
    <mergeCell ref="A212:A215"/>
    <mergeCell ref="A216:A229"/>
    <mergeCell ref="B61:B65"/>
    <mergeCell ref="C66:C72"/>
    <mergeCell ref="H66:H72"/>
    <mergeCell ref="D66:D72"/>
    <mergeCell ref="E66:E72"/>
    <mergeCell ref="F66:F72"/>
    <mergeCell ref="G66:G72"/>
    <mergeCell ref="B66:B72"/>
    <mergeCell ref="B73:B78"/>
    <mergeCell ref="C79:C83"/>
    <mergeCell ref="A1:L1"/>
    <mergeCell ref="A2:F2"/>
    <mergeCell ref="G2:L2"/>
    <mergeCell ref="B49:H60"/>
    <mergeCell ref="B105:H116"/>
    <mergeCell ref="A7:A22"/>
    <mergeCell ref="A23:A44"/>
    <mergeCell ref="A45:A60"/>
    <mergeCell ref="B23:B29"/>
    <mergeCell ref="C23:C29"/>
    <mergeCell ref="H23:H29"/>
    <mergeCell ref="D23:D29"/>
    <mergeCell ref="E23:E29"/>
    <mergeCell ref="B19:B22"/>
    <mergeCell ref="C19:C22"/>
    <mergeCell ref="B7:B11"/>
    <mergeCell ref="C7:C11"/>
    <mergeCell ref="H7:H11"/>
    <mergeCell ref="C39:C44"/>
    <mergeCell ref="H39:H44"/>
    <mergeCell ref="D39:D44"/>
    <mergeCell ref="E39:E44"/>
    <mergeCell ref="F39:F44"/>
    <mergeCell ref="H30:H35"/>
    <mergeCell ref="B36:B38"/>
    <mergeCell ref="C36:C38"/>
    <mergeCell ref="D36:D38"/>
    <mergeCell ref="E36:E38"/>
    <mergeCell ref="F36:F38"/>
    <mergeCell ref="G36:G38"/>
    <mergeCell ref="H36:H38"/>
    <mergeCell ref="B39:B44"/>
    <mergeCell ref="B30:B35"/>
    <mergeCell ref="C30:C35"/>
    <mergeCell ref="G39:G44"/>
    <mergeCell ref="D7:D11"/>
    <mergeCell ref="E7:E11"/>
    <mergeCell ref="F7:F11"/>
    <mergeCell ref="G7:G11"/>
    <mergeCell ref="D12:D18"/>
    <mergeCell ref="E12:E18"/>
    <mergeCell ref="F12:F18"/>
    <mergeCell ref="G12:G18"/>
    <mergeCell ref="C12:C18"/>
    <mergeCell ref="F23:F29"/>
    <mergeCell ref="G23:G29"/>
    <mergeCell ref="D30:D35"/>
    <mergeCell ref="E30:E35"/>
    <mergeCell ref="F30:F35"/>
    <mergeCell ref="G30:G35"/>
    <mergeCell ref="B12:B18"/>
    <mergeCell ref="H12:H18"/>
    <mergeCell ref="D19:D22"/>
    <mergeCell ref="E19:E22"/>
    <mergeCell ref="F19:F22"/>
    <mergeCell ref="G19:G22"/>
    <mergeCell ref="H19:H22"/>
    <mergeCell ref="H45:H48"/>
    <mergeCell ref="C45:C48"/>
    <mergeCell ref="B45:B48"/>
    <mergeCell ref="C61:C65"/>
    <mergeCell ref="H61:H65"/>
    <mergeCell ref="D61:D65"/>
    <mergeCell ref="E61:E65"/>
    <mergeCell ref="F61:F65"/>
    <mergeCell ref="G61:G65"/>
    <mergeCell ref="D45:D48"/>
    <mergeCell ref="E45:E48"/>
    <mergeCell ref="F45:F48"/>
    <mergeCell ref="G45:G48"/>
    <mergeCell ref="H79:H83"/>
    <mergeCell ref="D79:D83"/>
    <mergeCell ref="E79:E83"/>
    <mergeCell ref="F79:F83"/>
    <mergeCell ref="G79:G83"/>
    <mergeCell ref="B79:B83"/>
    <mergeCell ref="C73:C78"/>
    <mergeCell ref="H73:H78"/>
    <mergeCell ref="D73:D78"/>
    <mergeCell ref="E73:E78"/>
    <mergeCell ref="F73:F78"/>
    <mergeCell ref="G73:G78"/>
    <mergeCell ref="H84:H85"/>
    <mergeCell ref="B84:B85"/>
    <mergeCell ref="C86:C92"/>
    <mergeCell ref="D86:D92"/>
    <mergeCell ref="E86:E92"/>
    <mergeCell ref="F86:F92"/>
    <mergeCell ref="G86:G92"/>
    <mergeCell ref="H86:H92"/>
    <mergeCell ref="B86:B92"/>
    <mergeCell ref="D84:D85"/>
    <mergeCell ref="E84:E85"/>
    <mergeCell ref="F84:F85"/>
    <mergeCell ref="G84:G85"/>
    <mergeCell ref="C84:C85"/>
    <mergeCell ref="H102:H104"/>
    <mergeCell ref="D102:D104"/>
    <mergeCell ref="E102:E104"/>
    <mergeCell ref="F102:F104"/>
    <mergeCell ref="G102:G104"/>
    <mergeCell ref="B102:B104"/>
    <mergeCell ref="C117:C119"/>
    <mergeCell ref="H117:H119"/>
    <mergeCell ref="B93:B97"/>
    <mergeCell ref="B98:B101"/>
    <mergeCell ref="C98:C101"/>
    <mergeCell ref="H98:H101"/>
    <mergeCell ref="D98:D101"/>
    <mergeCell ref="E98:E101"/>
    <mergeCell ref="F98:F101"/>
    <mergeCell ref="G98:G101"/>
    <mergeCell ref="C102:C104"/>
    <mergeCell ref="C93:C97"/>
    <mergeCell ref="H93:H97"/>
    <mergeCell ref="D93:D97"/>
    <mergeCell ref="E93:E97"/>
    <mergeCell ref="F93:F97"/>
    <mergeCell ref="G93:G97"/>
    <mergeCell ref="B120:B122"/>
    <mergeCell ref="D117:D119"/>
    <mergeCell ref="E117:E119"/>
    <mergeCell ref="F117:F119"/>
    <mergeCell ref="G117:G119"/>
    <mergeCell ref="B117:B119"/>
    <mergeCell ref="C120:C122"/>
    <mergeCell ref="B129:B131"/>
    <mergeCell ref="C129:C131"/>
    <mergeCell ref="D129:D131"/>
    <mergeCell ref="E129:E131"/>
    <mergeCell ref="F129:F131"/>
    <mergeCell ref="G129:G131"/>
    <mergeCell ref="B123:B124"/>
    <mergeCell ref="B125:B128"/>
    <mergeCell ref="C125:C128"/>
    <mergeCell ref="F125:F128"/>
    <mergeCell ref="G125:G128"/>
    <mergeCell ref="C123:C124"/>
    <mergeCell ref="D123:D124"/>
    <mergeCell ref="E123:E124"/>
    <mergeCell ref="F123:F124"/>
    <mergeCell ref="G123:G124"/>
    <mergeCell ref="H216:H221"/>
    <mergeCell ref="H120:H122"/>
    <mergeCell ref="D120:D122"/>
    <mergeCell ref="E120:E122"/>
    <mergeCell ref="F120:F122"/>
    <mergeCell ref="G120:G122"/>
    <mergeCell ref="H129:H131"/>
    <mergeCell ref="H125:H128"/>
    <mergeCell ref="H123:H124"/>
    <mergeCell ref="D125:D128"/>
    <mergeCell ref="E125:E128"/>
    <mergeCell ref="H171:H175"/>
    <mergeCell ref="H151:H152"/>
    <mergeCell ref="H164:H167"/>
    <mergeCell ref="D179:D180"/>
    <mergeCell ref="E179:E180"/>
    <mergeCell ref="F179:F180"/>
    <mergeCell ref="G179:G180"/>
    <mergeCell ref="D181:D184"/>
    <mergeCell ref="E181:E184"/>
    <mergeCell ref="F181:F184"/>
    <mergeCell ref="G181:G184"/>
    <mergeCell ref="F199:F201"/>
    <mergeCell ref="G199:G201"/>
    <mergeCell ref="B141:B144"/>
    <mergeCell ref="C141:C144"/>
    <mergeCell ref="H141:H144"/>
    <mergeCell ref="D141:D144"/>
    <mergeCell ref="E141:E144"/>
    <mergeCell ref="F141:F144"/>
    <mergeCell ref="G141:G144"/>
    <mergeCell ref="B132:B136"/>
    <mergeCell ref="C137:C140"/>
    <mergeCell ref="B137:B140"/>
    <mergeCell ref="H137:H140"/>
    <mergeCell ref="D137:D140"/>
    <mergeCell ref="E137:E140"/>
    <mergeCell ref="F137:F140"/>
    <mergeCell ref="G137:G140"/>
    <mergeCell ref="C132:C136"/>
    <mergeCell ref="H132:H136"/>
    <mergeCell ref="D132:D136"/>
    <mergeCell ref="E132:E136"/>
    <mergeCell ref="F132:F136"/>
    <mergeCell ref="G132:G136"/>
    <mergeCell ref="B145:B147"/>
    <mergeCell ref="B148:B150"/>
    <mergeCell ref="C148:C150"/>
    <mergeCell ref="H148:H150"/>
    <mergeCell ref="D148:D150"/>
    <mergeCell ref="E148:E150"/>
    <mergeCell ref="F148:F150"/>
    <mergeCell ref="G148:G150"/>
    <mergeCell ref="C145:C147"/>
    <mergeCell ref="H145:H147"/>
    <mergeCell ref="D145:D147"/>
    <mergeCell ref="E145:E147"/>
    <mergeCell ref="F145:F147"/>
    <mergeCell ref="G145:G147"/>
    <mergeCell ref="B160:B163"/>
    <mergeCell ref="C160:C163"/>
    <mergeCell ref="D160:D163"/>
    <mergeCell ref="E160:E163"/>
    <mergeCell ref="F160:F163"/>
    <mergeCell ref="G160:G163"/>
    <mergeCell ref="H160:H163"/>
    <mergeCell ref="B151:B152"/>
    <mergeCell ref="C151:C152"/>
    <mergeCell ref="D151:D152"/>
    <mergeCell ref="E151:E152"/>
    <mergeCell ref="F151:F152"/>
    <mergeCell ref="G151:G152"/>
    <mergeCell ref="C168:C170"/>
    <mergeCell ref="H168:H170"/>
    <mergeCell ref="D168:D170"/>
    <mergeCell ref="E168:E170"/>
    <mergeCell ref="F168:F170"/>
    <mergeCell ref="G168:G170"/>
    <mergeCell ref="B164:B167"/>
    <mergeCell ref="C164:C167"/>
    <mergeCell ref="D164:D167"/>
    <mergeCell ref="E164:E167"/>
    <mergeCell ref="F164:F167"/>
    <mergeCell ref="G164:G167"/>
    <mergeCell ref="B168:B170"/>
    <mergeCell ref="B171:B175"/>
    <mergeCell ref="C171:C175"/>
    <mergeCell ref="D171:D175"/>
    <mergeCell ref="E171:E175"/>
    <mergeCell ref="F171:F175"/>
    <mergeCell ref="G171:G175"/>
    <mergeCell ref="B185:B187"/>
    <mergeCell ref="C185:C187"/>
    <mergeCell ref="H185:H187"/>
    <mergeCell ref="D185:D187"/>
    <mergeCell ref="E185:E187"/>
    <mergeCell ref="F185:F187"/>
    <mergeCell ref="G185:G187"/>
    <mergeCell ref="B176:B178"/>
    <mergeCell ref="C176:C178"/>
    <mergeCell ref="H176:H178"/>
    <mergeCell ref="D176:D178"/>
    <mergeCell ref="E176:E178"/>
    <mergeCell ref="F176:F178"/>
    <mergeCell ref="G176:G178"/>
    <mergeCell ref="H179:H180"/>
    <mergeCell ref="B181:B184"/>
    <mergeCell ref="C181:C184"/>
    <mergeCell ref="H181:H184"/>
    <mergeCell ref="B179:B180"/>
    <mergeCell ref="C179:C180"/>
    <mergeCell ref="G222:G223"/>
    <mergeCell ref="B216:B221"/>
    <mergeCell ref="C216:C221"/>
    <mergeCell ref="H191:H194"/>
    <mergeCell ref="B195:B198"/>
    <mergeCell ref="C195:C198"/>
    <mergeCell ref="D195:D198"/>
    <mergeCell ref="E195:E198"/>
    <mergeCell ref="F195:F198"/>
    <mergeCell ref="G195:G198"/>
    <mergeCell ref="H195:H198"/>
    <mergeCell ref="B191:B194"/>
    <mergeCell ref="C191:C194"/>
    <mergeCell ref="D191:D194"/>
    <mergeCell ref="E191:E194"/>
    <mergeCell ref="F191:F194"/>
    <mergeCell ref="G191:G194"/>
    <mergeCell ref="H222:H223"/>
    <mergeCell ref="G216:G221"/>
    <mergeCell ref="B222:B223"/>
    <mergeCell ref="C222:C223"/>
    <mergeCell ref="D222:D223"/>
    <mergeCell ref="E222:E223"/>
    <mergeCell ref="F222:F223"/>
    <mergeCell ref="B188:B190"/>
    <mergeCell ref="C188:C190"/>
    <mergeCell ref="H188:H190"/>
    <mergeCell ref="D188:D190"/>
    <mergeCell ref="E188:E190"/>
    <mergeCell ref="F188:F190"/>
    <mergeCell ref="G188:G190"/>
    <mergeCell ref="D216:D221"/>
    <mergeCell ref="E216:E221"/>
    <mergeCell ref="F216:F221"/>
    <mergeCell ref="H199:H201"/>
    <mergeCell ref="B212:B215"/>
    <mergeCell ref="C212:C215"/>
    <mergeCell ref="H212:H215"/>
    <mergeCell ref="D212:D215"/>
    <mergeCell ref="E212:E215"/>
    <mergeCell ref="F212:F215"/>
    <mergeCell ref="G212:G215"/>
    <mergeCell ref="B199:B201"/>
    <mergeCell ref="C199:C201"/>
    <mergeCell ref="D199:D201"/>
    <mergeCell ref="E199:E201"/>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headerFooter>
    <oddFooter>第 &amp;P 頁，共 &amp;N 頁</oddFooter>
  </headerFooter>
  <rowBreaks count="7" manualBreakCount="7">
    <brk id="22" max="11" man="1"/>
    <brk id="44" max="11" man="1"/>
    <brk id="72" max="11" man="1"/>
    <brk id="124" max="11" man="1"/>
    <brk id="150" max="11" man="1"/>
    <brk id="178" max="11" man="1"/>
    <brk id="201" max="11"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L41"/>
  <sheetViews>
    <sheetView view="pageBreakPreview" zoomScale="55" zoomScaleNormal="40" zoomScaleSheetLayoutView="55" workbookViewId="0">
      <pane ySplit="1" topLeftCell="A35" activePane="bottomLeft" state="frozen"/>
      <selection pane="bottomLeft" activeCell="C25" sqref="C25:C28"/>
    </sheetView>
  </sheetViews>
  <sheetFormatPr defaultColWidth="14.44140625" defaultRowHeight="15.75" customHeight="1" x14ac:dyDescent="0.25"/>
  <cols>
    <col min="1" max="1" width="8.33203125" bestFit="1" customWidth="1"/>
    <col min="2" max="2" width="8.33203125" customWidth="1"/>
    <col min="3" max="3" width="30" bestFit="1" customWidth="1"/>
    <col min="4" max="4" width="30.21875" style="1" bestFit="1" customWidth="1"/>
    <col min="5" max="6" width="25.66406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s>
  <sheetData>
    <row r="1" spans="1:12" ht="50.1" customHeight="1" thickBot="1" x14ac:dyDescent="0.3">
      <c r="A1" s="614" t="s">
        <v>11</v>
      </c>
      <c r="B1" s="614"/>
      <c r="C1" s="614"/>
      <c r="D1" s="614"/>
      <c r="E1" s="614"/>
      <c r="F1" s="614"/>
      <c r="G1" s="614"/>
      <c r="H1" s="614"/>
      <c r="I1" s="614"/>
      <c r="J1" s="614"/>
      <c r="K1" s="614"/>
      <c r="L1" s="614"/>
    </row>
    <row r="2" spans="1:12" s="8" customFormat="1" ht="50.1" customHeight="1" x14ac:dyDescent="0.3">
      <c r="A2" s="533" t="s">
        <v>12</v>
      </c>
      <c r="B2" s="534"/>
      <c r="C2" s="535"/>
      <c r="D2" s="535"/>
      <c r="E2" s="535"/>
      <c r="F2" s="535"/>
      <c r="G2" s="536" t="s">
        <v>654</v>
      </c>
      <c r="H2" s="536"/>
      <c r="I2" s="536"/>
      <c r="J2" s="537"/>
      <c r="K2" s="537"/>
      <c r="L2" s="538"/>
    </row>
    <row r="3" spans="1:12" s="10" customFormat="1" ht="50.1" customHeight="1" thickBot="1" x14ac:dyDescent="0.3">
      <c r="A3" s="138" t="s">
        <v>23</v>
      </c>
      <c r="B3" s="138" t="s">
        <v>653</v>
      </c>
      <c r="C3" s="136" t="s">
        <v>224</v>
      </c>
      <c r="D3" s="137" t="s">
        <v>22</v>
      </c>
      <c r="E3" s="138" t="s">
        <v>0</v>
      </c>
      <c r="F3" s="138" t="s">
        <v>2</v>
      </c>
      <c r="G3" s="138" t="s">
        <v>19</v>
      </c>
      <c r="H3" s="136" t="s">
        <v>1</v>
      </c>
      <c r="I3" s="136" t="s">
        <v>15</v>
      </c>
      <c r="J3" s="136" t="s">
        <v>592</v>
      </c>
      <c r="K3" s="136" t="s">
        <v>591</v>
      </c>
      <c r="L3" s="242" t="s">
        <v>16</v>
      </c>
    </row>
    <row r="4" spans="1:12" s="10" customFormat="1" ht="49.95" customHeight="1" x14ac:dyDescent="0.25">
      <c r="A4" s="653">
        <v>1</v>
      </c>
      <c r="B4" s="651">
        <v>1</v>
      </c>
      <c r="C4" s="434">
        <v>45029</v>
      </c>
      <c r="D4" s="447">
        <v>2023041400001</v>
      </c>
      <c r="E4" s="644" t="s">
        <v>655</v>
      </c>
      <c r="F4" s="642" t="s">
        <v>656</v>
      </c>
      <c r="G4" s="432" t="s">
        <v>657</v>
      </c>
      <c r="H4" s="639">
        <v>45031</v>
      </c>
      <c r="I4" s="141" t="s">
        <v>672</v>
      </c>
      <c r="J4" s="101" t="s">
        <v>675</v>
      </c>
      <c r="K4" s="239">
        <v>1</v>
      </c>
      <c r="L4" s="142">
        <f>667*1</f>
        <v>667</v>
      </c>
    </row>
    <row r="5" spans="1:12" s="10" customFormat="1" ht="49.95" customHeight="1" x14ac:dyDescent="0.25">
      <c r="A5" s="654"/>
      <c r="B5" s="647"/>
      <c r="C5" s="382"/>
      <c r="D5" s="380"/>
      <c r="E5" s="645"/>
      <c r="F5" s="482"/>
      <c r="G5" s="383"/>
      <c r="H5" s="640"/>
      <c r="I5" s="133" t="s">
        <v>673</v>
      </c>
      <c r="J5" s="39" t="s">
        <v>676</v>
      </c>
      <c r="K5" s="21">
        <v>1</v>
      </c>
      <c r="L5" s="134">
        <f>314*1</f>
        <v>314</v>
      </c>
    </row>
    <row r="6" spans="1:12" s="10" customFormat="1" ht="49.95" customHeight="1" thickBot="1" x14ac:dyDescent="0.3">
      <c r="A6" s="655"/>
      <c r="B6" s="652"/>
      <c r="C6" s="435"/>
      <c r="D6" s="448"/>
      <c r="E6" s="646"/>
      <c r="F6" s="643"/>
      <c r="G6" s="433"/>
      <c r="H6" s="641"/>
      <c r="I6" s="143" t="s">
        <v>674</v>
      </c>
      <c r="J6" s="44" t="s">
        <v>677</v>
      </c>
      <c r="K6" s="243">
        <v>3</v>
      </c>
      <c r="L6" s="144">
        <f>106*3</f>
        <v>318</v>
      </c>
    </row>
    <row r="7" spans="1:12" ht="49.95" customHeight="1" x14ac:dyDescent="0.25">
      <c r="A7" s="656">
        <v>2</v>
      </c>
      <c r="B7" s="651">
        <v>1</v>
      </c>
      <c r="C7" s="434">
        <v>45034</v>
      </c>
      <c r="D7" s="447">
        <v>2023041800001</v>
      </c>
      <c r="E7" s="449" t="s">
        <v>454</v>
      </c>
      <c r="F7" s="642" t="s">
        <v>658</v>
      </c>
      <c r="G7" s="432" t="s">
        <v>659</v>
      </c>
      <c r="H7" s="577">
        <v>45037</v>
      </c>
      <c r="I7" s="141" t="s">
        <v>617</v>
      </c>
      <c r="J7" s="238" t="s">
        <v>618</v>
      </c>
      <c r="K7" s="186">
        <v>135</v>
      </c>
      <c r="L7" s="142">
        <f>47*K7</f>
        <v>6345</v>
      </c>
    </row>
    <row r="8" spans="1:12" ht="49.95" customHeight="1" x14ac:dyDescent="0.25">
      <c r="A8" s="649"/>
      <c r="B8" s="647"/>
      <c r="C8" s="382"/>
      <c r="D8" s="380"/>
      <c r="E8" s="379"/>
      <c r="F8" s="482"/>
      <c r="G8" s="383"/>
      <c r="H8" s="578"/>
      <c r="I8" s="133" t="s">
        <v>619</v>
      </c>
      <c r="J8" s="179" t="s">
        <v>618</v>
      </c>
      <c r="K8" s="22">
        <v>20</v>
      </c>
      <c r="L8" s="134">
        <f>51*K8</f>
        <v>1020</v>
      </c>
    </row>
    <row r="9" spans="1:12" ht="49.95" customHeight="1" x14ac:dyDescent="0.25">
      <c r="A9" s="649"/>
      <c r="B9" s="647"/>
      <c r="C9" s="382"/>
      <c r="D9" s="380"/>
      <c r="E9" s="379"/>
      <c r="F9" s="482"/>
      <c r="G9" s="383"/>
      <c r="H9" s="578"/>
      <c r="I9" s="133" t="s">
        <v>620</v>
      </c>
      <c r="J9" s="179" t="s">
        <v>621</v>
      </c>
      <c r="K9" s="21">
        <v>1</v>
      </c>
      <c r="L9" s="134">
        <f>471*K9</f>
        <v>471</v>
      </c>
    </row>
    <row r="10" spans="1:12" ht="49.95" customHeight="1" x14ac:dyDescent="0.25">
      <c r="A10" s="649"/>
      <c r="B10" s="647">
        <v>2</v>
      </c>
      <c r="C10" s="382">
        <v>45034</v>
      </c>
      <c r="D10" s="380">
        <v>2023041800002</v>
      </c>
      <c r="E10" s="379" t="s">
        <v>454</v>
      </c>
      <c r="F10" s="383" t="s">
        <v>660</v>
      </c>
      <c r="G10" s="383" t="s">
        <v>661</v>
      </c>
      <c r="H10" s="578">
        <v>45037</v>
      </c>
      <c r="I10" s="133" t="s">
        <v>617</v>
      </c>
      <c r="J10" s="179" t="s">
        <v>618</v>
      </c>
      <c r="K10" s="22">
        <v>140</v>
      </c>
      <c r="L10" s="134">
        <f>47*K10</f>
        <v>6580</v>
      </c>
    </row>
    <row r="11" spans="1:12" ht="49.95" customHeight="1" x14ac:dyDescent="0.25">
      <c r="A11" s="649"/>
      <c r="B11" s="647"/>
      <c r="C11" s="382"/>
      <c r="D11" s="380"/>
      <c r="E11" s="379"/>
      <c r="F11" s="383"/>
      <c r="G11" s="383"/>
      <c r="H11" s="578"/>
      <c r="I11" s="133" t="s">
        <v>619</v>
      </c>
      <c r="J11" s="179" t="s">
        <v>618</v>
      </c>
      <c r="K11" s="22">
        <v>20</v>
      </c>
      <c r="L11" s="134">
        <f>51*K11</f>
        <v>1020</v>
      </c>
    </row>
    <row r="12" spans="1:12" ht="49.95" customHeight="1" x14ac:dyDescent="0.25">
      <c r="A12" s="649"/>
      <c r="B12" s="647">
        <v>3</v>
      </c>
      <c r="C12" s="382">
        <v>45034</v>
      </c>
      <c r="D12" s="380">
        <v>2023041800007</v>
      </c>
      <c r="E12" s="645" t="s">
        <v>454</v>
      </c>
      <c r="F12" s="383" t="s">
        <v>662</v>
      </c>
      <c r="G12" s="383" t="s">
        <v>663</v>
      </c>
      <c r="H12" s="578">
        <v>45037</v>
      </c>
      <c r="I12" s="133" t="s">
        <v>617</v>
      </c>
      <c r="J12" s="179" t="s">
        <v>618</v>
      </c>
      <c r="K12" s="22">
        <v>20</v>
      </c>
      <c r="L12" s="134">
        <f>47*K12</f>
        <v>940</v>
      </c>
    </row>
    <row r="13" spans="1:12" ht="49.95" customHeight="1" x14ac:dyDescent="0.25">
      <c r="A13" s="649"/>
      <c r="B13" s="647"/>
      <c r="C13" s="382"/>
      <c r="D13" s="380"/>
      <c r="E13" s="645"/>
      <c r="F13" s="383"/>
      <c r="G13" s="383"/>
      <c r="H13" s="578"/>
      <c r="I13" s="133" t="s">
        <v>619</v>
      </c>
      <c r="J13" s="179" t="s">
        <v>618</v>
      </c>
      <c r="K13" s="22">
        <v>3</v>
      </c>
      <c r="L13" s="134">
        <f>51*K13</f>
        <v>153</v>
      </c>
    </row>
    <row r="14" spans="1:12" ht="49.95" customHeight="1" x14ac:dyDescent="0.25">
      <c r="A14" s="649"/>
      <c r="B14" s="647"/>
      <c r="C14" s="382"/>
      <c r="D14" s="380"/>
      <c r="E14" s="645"/>
      <c r="F14" s="383"/>
      <c r="G14" s="383"/>
      <c r="H14" s="578"/>
      <c r="I14" s="133" t="s">
        <v>623</v>
      </c>
      <c r="J14" s="179" t="s">
        <v>618</v>
      </c>
      <c r="K14" s="22">
        <v>3</v>
      </c>
      <c r="L14" s="134">
        <f>471*K14</f>
        <v>1413</v>
      </c>
    </row>
    <row r="15" spans="1:12" ht="49.95" customHeight="1" x14ac:dyDescent="0.25">
      <c r="A15" s="649"/>
      <c r="B15" s="647">
        <v>4</v>
      </c>
      <c r="C15" s="382">
        <v>45034</v>
      </c>
      <c r="D15" s="380">
        <v>2023041800003</v>
      </c>
      <c r="E15" s="645" t="s">
        <v>454</v>
      </c>
      <c r="F15" s="383" t="s">
        <v>664</v>
      </c>
      <c r="G15" s="383" t="s">
        <v>665</v>
      </c>
      <c r="H15" s="578">
        <v>45037</v>
      </c>
      <c r="I15" s="133" t="s">
        <v>617</v>
      </c>
      <c r="J15" s="179" t="s">
        <v>618</v>
      </c>
      <c r="K15" s="22">
        <v>135</v>
      </c>
      <c r="L15" s="134">
        <f>47*K15</f>
        <v>6345</v>
      </c>
    </row>
    <row r="16" spans="1:12" ht="49.95" customHeight="1" x14ac:dyDescent="0.25">
      <c r="A16" s="649"/>
      <c r="B16" s="647"/>
      <c r="C16" s="382"/>
      <c r="D16" s="380"/>
      <c r="E16" s="645"/>
      <c r="F16" s="383"/>
      <c r="G16" s="383"/>
      <c r="H16" s="578"/>
      <c r="I16" s="133" t="s">
        <v>619</v>
      </c>
      <c r="J16" s="179" t="s">
        <v>618</v>
      </c>
      <c r="K16" s="22">
        <v>15</v>
      </c>
      <c r="L16" s="134">
        <f>51*K16</f>
        <v>765</v>
      </c>
    </row>
    <row r="17" spans="1:12" ht="49.95" customHeight="1" x14ac:dyDescent="0.25">
      <c r="A17" s="649"/>
      <c r="B17" s="647"/>
      <c r="C17" s="382"/>
      <c r="D17" s="380"/>
      <c r="E17" s="645"/>
      <c r="F17" s="383"/>
      <c r="G17" s="383"/>
      <c r="H17" s="578"/>
      <c r="I17" s="133" t="s">
        <v>620</v>
      </c>
      <c r="J17" s="179" t="s">
        <v>621</v>
      </c>
      <c r="K17" s="21">
        <v>1</v>
      </c>
      <c r="L17" s="134">
        <f>471*K17</f>
        <v>471</v>
      </c>
    </row>
    <row r="18" spans="1:12" ht="49.95" customHeight="1" x14ac:dyDescent="0.25">
      <c r="A18" s="649"/>
      <c r="B18" s="647"/>
      <c r="C18" s="382"/>
      <c r="D18" s="380"/>
      <c r="E18" s="645"/>
      <c r="F18" s="383"/>
      <c r="G18" s="383"/>
      <c r="H18" s="578"/>
      <c r="I18" s="133" t="s">
        <v>603</v>
      </c>
      <c r="J18" s="39" t="s">
        <v>604</v>
      </c>
      <c r="K18" s="22">
        <v>2</v>
      </c>
      <c r="L18" s="134">
        <f>283*K18</f>
        <v>566</v>
      </c>
    </row>
    <row r="19" spans="1:12" ht="49.95" customHeight="1" x14ac:dyDescent="0.25">
      <c r="A19" s="649"/>
      <c r="B19" s="647">
        <v>5</v>
      </c>
      <c r="C19" s="382">
        <v>45034</v>
      </c>
      <c r="D19" s="380">
        <v>2023041800004</v>
      </c>
      <c r="E19" s="645" t="s">
        <v>454</v>
      </c>
      <c r="F19" s="383" t="s">
        <v>666</v>
      </c>
      <c r="G19" s="383" t="s">
        <v>667</v>
      </c>
      <c r="H19" s="578">
        <v>45037</v>
      </c>
      <c r="I19" s="133" t="s">
        <v>617</v>
      </c>
      <c r="J19" s="179" t="s">
        <v>618</v>
      </c>
      <c r="K19" s="22">
        <v>140</v>
      </c>
      <c r="L19" s="134">
        <f>47*K19</f>
        <v>6580</v>
      </c>
    </row>
    <row r="20" spans="1:12" ht="49.95" customHeight="1" x14ac:dyDescent="0.25">
      <c r="A20" s="649"/>
      <c r="B20" s="647"/>
      <c r="C20" s="382"/>
      <c r="D20" s="380"/>
      <c r="E20" s="645"/>
      <c r="F20" s="383"/>
      <c r="G20" s="383"/>
      <c r="H20" s="578"/>
      <c r="I20" s="133" t="s">
        <v>619</v>
      </c>
      <c r="J20" s="179" t="s">
        <v>618</v>
      </c>
      <c r="K20" s="22">
        <v>20</v>
      </c>
      <c r="L20" s="134">
        <f>51*K20</f>
        <v>1020</v>
      </c>
    </row>
    <row r="21" spans="1:12" ht="49.95" customHeight="1" x14ac:dyDescent="0.25">
      <c r="A21" s="649"/>
      <c r="B21" s="647"/>
      <c r="C21" s="382"/>
      <c r="D21" s="380"/>
      <c r="E21" s="645"/>
      <c r="F21" s="383"/>
      <c r="G21" s="383"/>
      <c r="H21" s="578"/>
      <c r="I21" s="133" t="s">
        <v>620</v>
      </c>
      <c r="J21" s="179" t="s">
        <v>621</v>
      </c>
      <c r="K21" s="21">
        <v>1</v>
      </c>
      <c r="L21" s="134">
        <f>471*K21</f>
        <v>471</v>
      </c>
    </row>
    <row r="22" spans="1:12" ht="49.95" customHeight="1" x14ac:dyDescent="0.25">
      <c r="A22" s="649">
        <v>2</v>
      </c>
      <c r="B22" s="647">
        <v>6</v>
      </c>
      <c r="C22" s="382">
        <v>45034</v>
      </c>
      <c r="D22" s="380">
        <v>2023041800005</v>
      </c>
      <c r="E22" s="645" t="s">
        <v>454</v>
      </c>
      <c r="F22" s="383" t="s">
        <v>668</v>
      </c>
      <c r="G22" s="383" t="s">
        <v>669</v>
      </c>
      <c r="H22" s="578">
        <v>45037</v>
      </c>
      <c r="I22" s="133" t="s">
        <v>617</v>
      </c>
      <c r="J22" s="179" t="s">
        <v>618</v>
      </c>
      <c r="K22" s="22">
        <v>135</v>
      </c>
      <c r="L22" s="134">
        <f>47*K22</f>
        <v>6345</v>
      </c>
    </row>
    <row r="23" spans="1:12" ht="49.95" customHeight="1" x14ac:dyDescent="0.25">
      <c r="A23" s="649"/>
      <c r="B23" s="647"/>
      <c r="C23" s="382"/>
      <c r="D23" s="380"/>
      <c r="E23" s="645"/>
      <c r="F23" s="383"/>
      <c r="G23" s="383"/>
      <c r="H23" s="578"/>
      <c r="I23" s="133" t="s">
        <v>619</v>
      </c>
      <c r="J23" s="179" t="s">
        <v>618</v>
      </c>
      <c r="K23" s="22">
        <v>20</v>
      </c>
      <c r="L23" s="134">
        <f>51*K23</f>
        <v>1020</v>
      </c>
    </row>
    <row r="24" spans="1:12" ht="49.95" customHeight="1" x14ac:dyDescent="0.25">
      <c r="A24" s="649"/>
      <c r="B24" s="647"/>
      <c r="C24" s="382"/>
      <c r="D24" s="380"/>
      <c r="E24" s="645"/>
      <c r="F24" s="383"/>
      <c r="G24" s="383"/>
      <c r="H24" s="578"/>
      <c r="I24" s="133" t="s">
        <v>603</v>
      </c>
      <c r="J24" s="39" t="s">
        <v>604</v>
      </c>
      <c r="K24" s="22">
        <v>2</v>
      </c>
      <c r="L24" s="134">
        <f>283*K24</f>
        <v>566</v>
      </c>
    </row>
    <row r="25" spans="1:12" ht="49.95" customHeight="1" x14ac:dyDescent="0.25">
      <c r="A25" s="649"/>
      <c r="B25" s="647">
        <v>7</v>
      </c>
      <c r="C25" s="382">
        <v>45034</v>
      </c>
      <c r="D25" s="380">
        <v>2023041800006</v>
      </c>
      <c r="E25" s="645" t="s">
        <v>454</v>
      </c>
      <c r="F25" s="383" t="s">
        <v>670</v>
      </c>
      <c r="G25" s="383" t="s">
        <v>671</v>
      </c>
      <c r="H25" s="578">
        <v>45037</v>
      </c>
      <c r="I25" s="133" t="s">
        <v>617</v>
      </c>
      <c r="J25" s="179" t="s">
        <v>618</v>
      </c>
      <c r="K25" s="22">
        <v>135</v>
      </c>
      <c r="L25" s="134">
        <f>47*K25</f>
        <v>6345</v>
      </c>
    </row>
    <row r="26" spans="1:12" ht="49.95" customHeight="1" x14ac:dyDescent="0.25">
      <c r="A26" s="649"/>
      <c r="B26" s="647"/>
      <c r="C26" s="382"/>
      <c r="D26" s="380"/>
      <c r="E26" s="645"/>
      <c r="F26" s="383"/>
      <c r="G26" s="383"/>
      <c r="H26" s="578"/>
      <c r="I26" s="133" t="s">
        <v>619</v>
      </c>
      <c r="J26" s="179" t="s">
        <v>618</v>
      </c>
      <c r="K26" s="22">
        <v>20</v>
      </c>
      <c r="L26" s="134">
        <f>51*K26</f>
        <v>1020</v>
      </c>
    </row>
    <row r="27" spans="1:12" ht="49.95" customHeight="1" x14ac:dyDescent="0.25">
      <c r="A27" s="649"/>
      <c r="B27" s="647"/>
      <c r="C27" s="382"/>
      <c r="D27" s="380"/>
      <c r="E27" s="645"/>
      <c r="F27" s="383"/>
      <c r="G27" s="383"/>
      <c r="H27" s="578"/>
      <c r="I27" s="133" t="s">
        <v>681</v>
      </c>
      <c r="J27" s="179" t="s">
        <v>621</v>
      </c>
      <c r="K27" s="21">
        <v>1</v>
      </c>
      <c r="L27" s="134">
        <f>471*K27</f>
        <v>471</v>
      </c>
    </row>
    <row r="28" spans="1:12" ht="49.95" customHeight="1" thickBot="1" x14ac:dyDescent="0.3">
      <c r="A28" s="649"/>
      <c r="B28" s="505"/>
      <c r="C28" s="412"/>
      <c r="D28" s="414"/>
      <c r="E28" s="648"/>
      <c r="F28" s="491"/>
      <c r="G28" s="491"/>
      <c r="H28" s="576"/>
      <c r="I28" s="175" t="s">
        <v>603</v>
      </c>
      <c r="J28" s="178" t="s">
        <v>604</v>
      </c>
      <c r="K28" s="199">
        <v>2</v>
      </c>
      <c r="L28" s="177">
        <f>283*K28</f>
        <v>566</v>
      </c>
    </row>
    <row r="29" spans="1:12" ht="24" thickTop="1" x14ac:dyDescent="0.25">
      <c r="A29" s="649"/>
      <c r="B29" s="630" t="s">
        <v>796</v>
      </c>
      <c r="C29" s="631"/>
      <c r="D29" s="631"/>
      <c r="E29" s="631"/>
      <c r="F29" s="631"/>
      <c r="G29" s="631"/>
      <c r="H29" s="632"/>
      <c r="I29" s="208" t="s">
        <v>642</v>
      </c>
      <c r="J29" s="209" t="s">
        <v>643</v>
      </c>
      <c r="K29" s="211">
        <f>K7+K10+K12+K15+K19+K22+K25</f>
        <v>840</v>
      </c>
      <c r="L29" s="210"/>
    </row>
    <row r="30" spans="1:12" ht="23.4" x14ac:dyDescent="0.25">
      <c r="A30" s="649"/>
      <c r="B30" s="633"/>
      <c r="C30" s="634"/>
      <c r="D30" s="634"/>
      <c r="E30" s="634"/>
      <c r="F30" s="634"/>
      <c r="G30" s="634"/>
      <c r="H30" s="635"/>
      <c r="I30" s="201" t="s">
        <v>644</v>
      </c>
      <c r="J30" s="202" t="s">
        <v>643</v>
      </c>
      <c r="K30" s="203">
        <f>K8+K11+K13+K16+K20+K23+K26</f>
        <v>118</v>
      </c>
      <c r="L30" s="224"/>
    </row>
    <row r="31" spans="1:12" ht="23.4" x14ac:dyDescent="0.25">
      <c r="A31" s="649"/>
      <c r="B31" s="633"/>
      <c r="C31" s="634"/>
      <c r="D31" s="634"/>
      <c r="E31" s="634"/>
      <c r="F31" s="634"/>
      <c r="G31" s="634"/>
      <c r="H31" s="635"/>
      <c r="I31" s="201" t="s">
        <v>679</v>
      </c>
      <c r="J31" s="202" t="s">
        <v>680</v>
      </c>
      <c r="K31" s="203">
        <f>K14</f>
        <v>3</v>
      </c>
      <c r="L31" s="224"/>
    </row>
    <row r="32" spans="1:12" ht="21" x14ac:dyDescent="0.25">
      <c r="A32" s="649"/>
      <c r="B32" s="633"/>
      <c r="C32" s="634"/>
      <c r="D32" s="634"/>
      <c r="E32" s="634"/>
      <c r="F32" s="634"/>
      <c r="G32" s="634"/>
      <c r="H32" s="635"/>
      <c r="I32" s="201" t="s">
        <v>681</v>
      </c>
      <c r="J32" s="202" t="s">
        <v>682</v>
      </c>
      <c r="K32" s="245">
        <f>K9+K17+K21+K27</f>
        <v>4</v>
      </c>
      <c r="L32" s="224"/>
    </row>
    <row r="33" spans="1:12" ht="21.6" thickBot="1" x14ac:dyDescent="0.3">
      <c r="A33" s="650"/>
      <c r="B33" s="636"/>
      <c r="C33" s="637"/>
      <c r="D33" s="637"/>
      <c r="E33" s="637"/>
      <c r="F33" s="637"/>
      <c r="G33" s="637"/>
      <c r="H33" s="638"/>
      <c r="I33" s="188" t="s">
        <v>683</v>
      </c>
      <c r="J33" s="189" t="s">
        <v>684</v>
      </c>
      <c r="K33" s="246">
        <f>K18+K24+K28</f>
        <v>6</v>
      </c>
      <c r="L33" s="223"/>
    </row>
    <row r="34" spans="1:12" s="53" customFormat="1" ht="15" x14ac:dyDescent="0.25">
      <c r="A34" s="2"/>
      <c r="B34" s="2"/>
      <c r="C34" s="2"/>
      <c r="D34" s="2"/>
      <c r="E34" s="2"/>
      <c r="F34" s="2"/>
      <c r="G34" s="54"/>
      <c r="H34" s="3"/>
      <c r="J34" s="1"/>
      <c r="K34" s="1"/>
      <c r="L34" s="12"/>
    </row>
    <row r="35" spans="1:12" s="53" customFormat="1" ht="15.75" customHeight="1" x14ac:dyDescent="0.25">
      <c r="A35" s="2"/>
      <c r="B35" s="2"/>
      <c r="C35" s="2"/>
      <c r="D35" s="2"/>
      <c r="E35" s="2"/>
      <c r="F35" s="2"/>
      <c r="G35" s="54"/>
      <c r="H35" s="3"/>
      <c r="J35" s="1"/>
      <c r="K35" s="1"/>
      <c r="L35" s="12"/>
    </row>
    <row r="36" spans="1:12" s="53" customFormat="1" ht="15.75" customHeight="1" x14ac:dyDescent="0.25">
      <c r="A36" s="2"/>
      <c r="B36" s="2"/>
      <c r="C36" s="2"/>
      <c r="D36" s="2"/>
      <c r="E36" s="2"/>
      <c r="F36" s="2"/>
      <c r="G36" s="54"/>
      <c r="H36" s="3"/>
      <c r="J36" s="1"/>
      <c r="K36" s="1"/>
      <c r="L36" s="12"/>
    </row>
    <row r="37" spans="1:12" ht="15.75" customHeight="1" x14ac:dyDescent="0.25">
      <c r="A37" s="2"/>
      <c r="B37" s="2"/>
      <c r="C37" s="2"/>
      <c r="D37" s="2"/>
      <c r="E37" s="2"/>
      <c r="F37" s="2"/>
      <c r="G37" s="54"/>
      <c r="H37" s="3"/>
    </row>
    <row r="41" spans="1:12" ht="15.75" customHeight="1" x14ac:dyDescent="0.25">
      <c r="D41" s="244" t="s">
        <v>678</v>
      </c>
    </row>
  </sheetData>
  <autoFilter ref="A3:L33" xr:uid="{00000000-0009-0000-0000-000013000000}"/>
  <mergeCells count="63">
    <mergeCell ref="A22:A33"/>
    <mergeCell ref="A1:L1"/>
    <mergeCell ref="A2:F2"/>
    <mergeCell ref="G2:L2"/>
    <mergeCell ref="B7:B9"/>
    <mergeCell ref="C7:C9"/>
    <mergeCell ref="D7:D9"/>
    <mergeCell ref="E7:E9"/>
    <mergeCell ref="F7:F9"/>
    <mergeCell ref="G7:G9"/>
    <mergeCell ref="H7:H9"/>
    <mergeCell ref="D4:D6"/>
    <mergeCell ref="C4:C6"/>
    <mergeCell ref="B4:B6"/>
    <mergeCell ref="A4:A6"/>
    <mergeCell ref="A7:A21"/>
    <mergeCell ref="B10:B11"/>
    <mergeCell ref="C10:C11"/>
    <mergeCell ref="D10:D11"/>
    <mergeCell ref="E10:E11"/>
    <mergeCell ref="F10:F11"/>
    <mergeCell ref="G10:G11"/>
    <mergeCell ref="H10:H11"/>
    <mergeCell ref="G19:G21"/>
    <mergeCell ref="H12:H14"/>
    <mergeCell ref="B15:B18"/>
    <mergeCell ref="C15:C18"/>
    <mergeCell ref="D15:D18"/>
    <mergeCell ref="E15:E18"/>
    <mergeCell ref="F15:F18"/>
    <mergeCell ref="G15:G18"/>
    <mergeCell ref="H15:H18"/>
    <mergeCell ref="B12:B14"/>
    <mergeCell ref="C12:C14"/>
    <mergeCell ref="D12:D14"/>
    <mergeCell ref="E12:E14"/>
    <mergeCell ref="F12:F14"/>
    <mergeCell ref="B19:B21"/>
    <mergeCell ref="C19:C21"/>
    <mergeCell ref="D19:D21"/>
    <mergeCell ref="E19:E21"/>
    <mergeCell ref="F19:F21"/>
    <mergeCell ref="E22:E24"/>
    <mergeCell ref="F22:F24"/>
    <mergeCell ref="G22:G24"/>
    <mergeCell ref="H22:H24"/>
    <mergeCell ref="G12:G14"/>
    <mergeCell ref="B29:H33"/>
    <mergeCell ref="H4:H6"/>
    <mergeCell ref="G4:G6"/>
    <mergeCell ref="F4:F6"/>
    <mergeCell ref="E4:E6"/>
    <mergeCell ref="H25:H28"/>
    <mergeCell ref="B25:B28"/>
    <mergeCell ref="C25:C28"/>
    <mergeCell ref="D25:D28"/>
    <mergeCell ref="E25:E28"/>
    <mergeCell ref="F25:F28"/>
    <mergeCell ref="G25:G28"/>
    <mergeCell ref="H19:H21"/>
    <mergeCell ref="B22:B24"/>
    <mergeCell ref="C22:C24"/>
    <mergeCell ref="D22:D24"/>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rowBreaks count="1" manualBreakCount="1">
    <brk id="21" max="11"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L109"/>
  <sheetViews>
    <sheetView view="pageBreakPreview" zoomScale="55" zoomScaleNormal="40" zoomScaleSheetLayoutView="55" workbookViewId="0">
      <pane ySplit="1" topLeftCell="A74" activePane="bottomLeft" state="frozen"/>
      <selection pane="bottomLeft" activeCell="E50" sqref="E50:E51"/>
    </sheetView>
  </sheetViews>
  <sheetFormatPr defaultColWidth="14.44140625" defaultRowHeight="15.75" customHeight="1" x14ac:dyDescent="0.25"/>
  <cols>
    <col min="1" max="1" width="8.33203125" bestFit="1" customWidth="1"/>
    <col min="2" max="2" width="8.33203125" customWidth="1"/>
    <col min="3" max="3" width="30" bestFit="1" customWidth="1"/>
    <col min="4" max="4" width="30.21875" style="1" bestFit="1" customWidth="1"/>
    <col min="5" max="6" width="25.6640625" customWidth="1"/>
    <col min="7" max="7" width="80.6640625" style="53" customWidth="1"/>
    <col min="8" max="8" width="25.6640625" customWidth="1"/>
    <col min="9" max="9" width="24.5546875" style="53" customWidth="1"/>
    <col min="10" max="10" width="10.77734375" style="1" customWidth="1"/>
    <col min="11" max="11" width="14.109375" style="1" customWidth="1"/>
    <col min="12" max="12" width="30.6640625" style="12" customWidth="1"/>
  </cols>
  <sheetData>
    <row r="1" spans="1:12" ht="50.1" customHeight="1" thickBot="1" x14ac:dyDescent="0.3">
      <c r="A1" s="614" t="s">
        <v>11</v>
      </c>
      <c r="B1" s="614"/>
      <c r="C1" s="614"/>
      <c r="D1" s="614"/>
      <c r="E1" s="614"/>
      <c r="F1" s="614"/>
      <c r="G1" s="614"/>
      <c r="H1" s="614"/>
      <c r="I1" s="614"/>
      <c r="J1" s="614"/>
      <c r="K1" s="614"/>
      <c r="L1" s="614"/>
    </row>
    <row r="2" spans="1:12" s="8" customFormat="1" ht="50.1" customHeight="1" thickBot="1" x14ac:dyDescent="0.35">
      <c r="A2" s="533" t="s">
        <v>12</v>
      </c>
      <c r="B2" s="534"/>
      <c r="C2" s="535"/>
      <c r="D2" s="535"/>
      <c r="E2" s="535"/>
      <c r="F2" s="535"/>
      <c r="G2" s="536" t="s">
        <v>522</v>
      </c>
      <c r="H2" s="536"/>
      <c r="I2" s="536"/>
      <c r="J2" s="537"/>
      <c r="K2" s="537"/>
      <c r="L2" s="538"/>
    </row>
    <row r="3" spans="1:12" s="10" customFormat="1" ht="50.1" customHeight="1" thickBot="1" x14ac:dyDescent="0.3">
      <c r="A3" s="159" t="s">
        <v>23</v>
      </c>
      <c r="B3" s="228" t="s">
        <v>653</v>
      </c>
      <c r="C3" s="160" t="s">
        <v>224</v>
      </c>
      <c r="D3" s="161" t="s">
        <v>22</v>
      </c>
      <c r="E3" s="162" t="s">
        <v>0</v>
      </c>
      <c r="F3" s="162" t="s">
        <v>2</v>
      </c>
      <c r="G3" s="162" t="s">
        <v>19</v>
      </c>
      <c r="H3" s="160" t="s">
        <v>1</v>
      </c>
      <c r="I3" s="160" t="s">
        <v>15</v>
      </c>
      <c r="J3" s="170" t="s">
        <v>592</v>
      </c>
      <c r="K3" s="170" t="s">
        <v>591</v>
      </c>
      <c r="L3" s="163" t="s">
        <v>16</v>
      </c>
    </row>
    <row r="4" spans="1:12" s="10" customFormat="1" ht="129.6" customHeight="1" thickBot="1" x14ac:dyDescent="0.3">
      <c r="A4" s="225">
        <v>1</v>
      </c>
      <c r="B4" s="230">
        <v>1</v>
      </c>
      <c r="C4" s="164">
        <v>44931</v>
      </c>
      <c r="D4" s="165">
        <v>2023010500001</v>
      </c>
      <c r="E4" s="98" t="s">
        <v>523</v>
      </c>
      <c r="F4" s="99" t="s">
        <v>524</v>
      </c>
      <c r="G4" s="99" t="s">
        <v>525</v>
      </c>
      <c r="H4" s="164">
        <v>45015</v>
      </c>
      <c r="I4" s="169" t="s">
        <v>594</v>
      </c>
      <c r="J4" s="96" t="s">
        <v>593</v>
      </c>
      <c r="K4" s="229">
        <v>1</v>
      </c>
      <c r="L4" s="166">
        <f>191194*K4</f>
        <v>191194</v>
      </c>
    </row>
    <row r="5" spans="1:12" ht="49.95" customHeight="1" x14ac:dyDescent="0.25">
      <c r="A5" s="656">
        <v>2</v>
      </c>
      <c r="B5" s="511">
        <v>1</v>
      </c>
      <c r="C5" s="657">
        <v>44998</v>
      </c>
      <c r="D5" s="415">
        <v>2023031400001</v>
      </c>
      <c r="E5" s="464" t="s">
        <v>454</v>
      </c>
      <c r="F5" s="493" t="s">
        <v>526</v>
      </c>
      <c r="G5" s="493" t="s">
        <v>527</v>
      </c>
      <c r="H5" s="575">
        <v>44999</v>
      </c>
      <c r="I5" s="180" t="s">
        <v>598</v>
      </c>
      <c r="J5" s="200" t="s">
        <v>595</v>
      </c>
      <c r="K5" s="187">
        <v>1</v>
      </c>
      <c r="L5" s="204">
        <f>9410*K5</f>
        <v>9410</v>
      </c>
    </row>
    <row r="6" spans="1:12" ht="49.95" customHeight="1" x14ac:dyDescent="0.25">
      <c r="A6" s="649"/>
      <c r="B6" s="647"/>
      <c r="C6" s="658"/>
      <c r="D6" s="380"/>
      <c r="E6" s="379"/>
      <c r="F6" s="383"/>
      <c r="G6" s="383"/>
      <c r="H6" s="578"/>
      <c r="I6" s="175" t="s">
        <v>599</v>
      </c>
      <c r="J6" s="176" t="s">
        <v>597</v>
      </c>
      <c r="K6" s="190">
        <v>1</v>
      </c>
      <c r="L6" s="177">
        <f>747*K6</f>
        <v>747</v>
      </c>
    </row>
    <row r="7" spans="1:12" ht="49.95" customHeight="1" x14ac:dyDescent="0.25">
      <c r="A7" s="649"/>
      <c r="B7" s="647">
        <v>2</v>
      </c>
      <c r="C7" s="658">
        <v>44991</v>
      </c>
      <c r="D7" s="380">
        <v>2023030600009</v>
      </c>
      <c r="E7" s="379" t="s">
        <v>454</v>
      </c>
      <c r="F7" s="383" t="s">
        <v>528</v>
      </c>
      <c r="G7" s="383" t="s">
        <v>529</v>
      </c>
      <c r="H7" s="578">
        <v>44993</v>
      </c>
      <c r="I7" s="133" t="s">
        <v>598</v>
      </c>
      <c r="J7" s="39" t="s">
        <v>595</v>
      </c>
      <c r="K7" s="22">
        <v>1</v>
      </c>
      <c r="L7" s="134">
        <f>9410*K7</f>
        <v>9410</v>
      </c>
    </row>
    <row r="8" spans="1:12" ht="49.95" customHeight="1" x14ac:dyDescent="0.25">
      <c r="A8" s="649"/>
      <c r="B8" s="647"/>
      <c r="C8" s="658"/>
      <c r="D8" s="380"/>
      <c r="E8" s="379"/>
      <c r="F8" s="383"/>
      <c r="G8" s="383"/>
      <c r="H8" s="578"/>
      <c r="I8" s="133" t="s">
        <v>599</v>
      </c>
      <c r="J8" s="39" t="s">
        <v>597</v>
      </c>
      <c r="K8" s="187">
        <v>1</v>
      </c>
      <c r="L8" s="134">
        <f>747*K8</f>
        <v>747</v>
      </c>
    </row>
    <row r="9" spans="1:12" ht="49.95" customHeight="1" x14ac:dyDescent="0.25">
      <c r="A9" s="649"/>
      <c r="B9" s="647">
        <v>3</v>
      </c>
      <c r="C9" s="658">
        <v>44991</v>
      </c>
      <c r="D9" s="380">
        <v>2023030600010</v>
      </c>
      <c r="E9" s="379" t="s">
        <v>454</v>
      </c>
      <c r="F9" s="383" t="s">
        <v>530</v>
      </c>
      <c r="G9" s="383" t="s">
        <v>529</v>
      </c>
      <c r="H9" s="578">
        <v>44993</v>
      </c>
      <c r="I9" s="133" t="s">
        <v>598</v>
      </c>
      <c r="J9" s="39" t="s">
        <v>595</v>
      </c>
      <c r="K9" s="22">
        <v>1</v>
      </c>
      <c r="L9" s="134">
        <f>9410*K9</f>
        <v>9410</v>
      </c>
    </row>
    <row r="10" spans="1:12" ht="49.95" customHeight="1" x14ac:dyDescent="0.25">
      <c r="A10" s="649"/>
      <c r="B10" s="647"/>
      <c r="C10" s="658"/>
      <c r="D10" s="380"/>
      <c r="E10" s="379"/>
      <c r="F10" s="383"/>
      <c r="G10" s="383"/>
      <c r="H10" s="578"/>
      <c r="I10" s="133" t="s">
        <v>599</v>
      </c>
      <c r="J10" s="39" t="s">
        <v>597</v>
      </c>
      <c r="K10" s="187">
        <v>1</v>
      </c>
      <c r="L10" s="134">
        <f>747*K10</f>
        <v>747</v>
      </c>
    </row>
    <row r="11" spans="1:12" ht="49.95" customHeight="1" x14ac:dyDescent="0.25">
      <c r="A11" s="649"/>
      <c r="B11" s="647">
        <v>4</v>
      </c>
      <c r="C11" s="658">
        <v>44998</v>
      </c>
      <c r="D11" s="380">
        <v>2023031300003</v>
      </c>
      <c r="E11" s="379" t="s">
        <v>454</v>
      </c>
      <c r="F11" s="383" t="s">
        <v>531</v>
      </c>
      <c r="G11" s="383" t="s">
        <v>529</v>
      </c>
      <c r="H11" s="578">
        <v>44999</v>
      </c>
      <c r="I11" s="133" t="s">
        <v>598</v>
      </c>
      <c r="J11" s="39" t="s">
        <v>595</v>
      </c>
      <c r="K11" s="22">
        <v>1</v>
      </c>
      <c r="L11" s="134">
        <f>9410*K11</f>
        <v>9410</v>
      </c>
    </row>
    <row r="12" spans="1:12" ht="49.95" customHeight="1" x14ac:dyDescent="0.25">
      <c r="A12" s="649"/>
      <c r="B12" s="647"/>
      <c r="C12" s="658"/>
      <c r="D12" s="380"/>
      <c r="E12" s="379"/>
      <c r="F12" s="383"/>
      <c r="G12" s="383"/>
      <c r="H12" s="578"/>
      <c r="I12" s="133" t="s">
        <v>599</v>
      </c>
      <c r="J12" s="39" t="s">
        <v>597</v>
      </c>
      <c r="K12" s="187">
        <v>1</v>
      </c>
      <c r="L12" s="134">
        <f>747*K12</f>
        <v>747</v>
      </c>
    </row>
    <row r="13" spans="1:12" ht="49.95" customHeight="1" x14ac:dyDescent="0.25">
      <c r="A13" s="649"/>
      <c r="B13" s="647">
        <v>5</v>
      </c>
      <c r="C13" s="658">
        <v>44998</v>
      </c>
      <c r="D13" s="380">
        <v>2023031300004</v>
      </c>
      <c r="E13" s="379" t="s">
        <v>454</v>
      </c>
      <c r="F13" s="383" t="s">
        <v>532</v>
      </c>
      <c r="G13" s="383" t="s">
        <v>529</v>
      </c>
      <c r="H13" s="578">
        <v>44999</v>
      </c>
      <c r="I13" s="133" t="s">
        <v>598</v>
      </c>
      <c r="J13" s="39" t="s">
        <v>595</v>
      </c>
      <c r="K13" s="22">
        <v>1</v>
      </c>
      <c r="L13" s="134">
        <f>9410*K13</f>
        <v>9410</v>
      </c>
    </row>
    <row r="14" spans="1:12" ht="49.95" customHeight="1" x14ac:dyDescent="0.25">
      <c r="A14" s="649"/>
      <c r="B14" s="647"/>
      <c r="C14" s="658"/>
      <c r="D14" s="380"/>
      <c r="E14" s="379"/>
      <c r="F14" s="383"/>
      <c r="G14" s="383"/>
      <c r="H14" s="578"/>
      <c r="I14" s="133" t="s">
        <v>599</v>
      </c>
      <c r="J14" s="39" t="s">
        <v>597</v>
      </c>
      <c r="K14" s="187">
        <v>1</v>
      </c>
      <c r="L14" s="134">
        <f>747*K14</f>
        <v>747</v>
      </c>
    </row>
    <row r="15" spans="1:12" ht="49.95" customHeight="1" x14ac:dyDescent="0.25">
      <c r="A15" s="649"/>
      <c r="B15" s="647">
        <v>6</v>
      </c>
      <c r="C15" s="658">
        <v>44998</v>
      </c>
      <c r="D15" s="380">
        <v>2023031300005</v>
      </c>
      <c r="E15" s="379" t="s">
        <v>454</v>
      </c>
      <c r="F15" s="383" t="s">
        <v>533</v>
      </c>
      <c r="G15" s="383" t="s">
        <v>529</v>
      </c>
      <c r="H15" s="578">
        <v>44999</v>
      </c>
      <c r="I15" s="133" t="s">
        <v>598</v>
      </c>
      <c r="J15" s="39" t="s">
        <v>595</v>
      </c>
      <c r="K15" s="22">
        <v>1</v>
      </c>
      <c r="L15" s="134">
        <f>9410*K15</f>
        <v>9410</v>
      </c>
    </row>
    <row r="16" spans="1:12" ht="49.95" customHeight="1" x14ac:dyDescent="0.25">
      <c r="A16" s="649"/>
      <c r="B16" s="647"/>
      <c r="C16" s="658"/>
      <c r="D16" s="380"/>
      <c r="E16" s="379"/>
      <c r="F16" s="383"/>
      <c r="G16" s="383"/>
      <c r="H16" s="578"/>
      <c r="I16" s="133" t="s">
        <v>599</v>
      </c>
      <c r="J16" s="39" t="s">
        <v>597</v>
      </c>
      <c r="K16" s="187">
        <v>1</v>
      </c>
      <c r="L16" s="134">
        <f>747*K16</f>
        <v>747</v>
      </c>
    </row>
    <row r="17" spans="1:12" ht="49.95" customHeight="1" x14ac:dyDescent="0.25">
      <c r="A17" s="649"/>
      <c r="B17" s="647">
        <v>7</v>
      </c>
      <c r="C17" s="658">
        <v>44998</v>
      </c>
      <c r="D17" s="380">
        <v>2023031300006</v>
      </c>
      <c r="E17" s="379" t="s">
        <v>454</v>
      </c>
      <c r="F17" s="383" t="s">
        <v>534</v>
      </c>
      <c r="G17" s="383" t="s">
        <v>529</v>
      </c>
      <c r="H17" s="578">
        <v>44999</v>
      </c>
      <c r="I17" s="133" t="s">
        <v>598</v>
      </c>
      <c r="J17" s="39" t="s">
        <v>595</v>
      </c>
      <c r="K17" s="22">
        <v>1</v>
      </c>
      <c r="L17" s="134">
        <f>9410*K17</f>
        <v>9410</v>
      </c>
    </row>
    <row r="18" spans="1:12" ht="49.95" customHeight="1" x14ac:dyDescent="0.25">
      <c r="A18" s="649"/>
      <c r="B18" s="647"/>
      <c r="C18" s="658"/>
      <c r="D18" s="380"/>
      <c r="E18" s="379"/>
      <c r="F18" s="383"/>
      <c r="G18" s="383"/>
      <c r="H18" s="578"/>
      <c r="I18" s="133" t="s">
        <v>599</v>
      </c>
      <c r="J18" s="39" t="s">
        <v>597</v>
      </c>
      <c r="K18" s="187">
        <v>1</v>
      </c>
      <c r="L18" s="134">
        <f>747*K18</f>
        <v>747</v>
      </c>
    </row>
    <row r="19" spans="1:12" ht="49.95" customHeight="1" x14ac:dyDescent="0.25">
      <c r="A19" s="649"/>
      <c r="B19" s="647">
        <v>8</v>
      </c>
      <c r="C19" s="658">
        <v>44998</v>
      </c>
      <c r="D19" s="380">
        <v>2023031300007</v>
      </c>
      <c r="E19" s="379" t="s">
        <v>454</v>
      </c>
      <c r="F19" s="383" t="s">
        <v>535</v>
      </c>
      <c r="G19" s="383" t="s">
        <v>529</v>
      </c>
      <c r="H19" s="578">
        <v>44999</v>
      </c>
      <c r="I19" s="133" t="s">
        <v>598</v>
      </c>
      <c r="J19" s="39" t="s">
        <v>595</v>
      </c>
      <c r="K19" s="22">
        <v>1</v>
      </c>
      <c r="L19" s="134">
        <f>9410*K19</f>
        <v>9410</v>
      </c>
    </row>
    <row r="20" spans="1:12" ht="49.95" customHeight="1" thickBot="1" x14ac:dyDescent="0.3">
      <c r="A20" s="650"/>
      <c r="B20" s="647"/>
      <c r="C20" s="658"/>
      <c r="D20" s="380"/>
      <c r="E20" s="379"/>
      <c r="F20" s="383"/>
      <c r="G20" s="383"/>
      <c r="H20" s="578"/>
      <c r="I20" s="133" t="s">
        <v>599</v>
      </c>
      <c r="J20" s="39" t="s">
        <v>597</v>
      </c>
      <c r="K20" s="22">
        <v>1</v>
      </c>
      <c r="L20" s="134">
        <f>747*K20</f>
        <v>747</v>
      </c>
    </row>
    <row r="21" spans="1:12" ht="49.95" customHeight="1" x14ac:dyDescent="0.25">
      <c r="A21" s="656">
        <v>2</v>
      </c>
      <c r="B21" s="647">
        <v>9</v>
      </c>
      <c r="C21" s="658">
        <v>44998</v>
      </c>
      <c r="D21" s="380">
        <v>2023031300008</v>
      </c>
      <c r="E21" s="379" t="s">
        <v>454</v>
      </c>
      <c r="F21" s="383" t="s">
        <v>536</v>
      </c>
      <c r="G21" s="383" t="s">
        <v>529</v>
      </c>
      <c r="H21" s="578">
        <v>44999</v>
      </c>
      <c r="I21" s="133" t="s">
        <v>598</v>
      </c>
      <c r="J21" s="39" t="s">
        <v>595</v>
      </c>
      <c r="K21" s="22">
        <v>1</v>
      </c>
      <c r="L21" s="134">
        <f>9410*K21</f>
        <v>9410</v>
      </c>
    </row>
    <row r="22" spans="1:12" ht="49.95" customHeight="1" x14ac:dyDescent="0.25">
      <c r="A22" s="649"/>
      <c r="B22" s="647"/>
      <c r="C22" s="658"/>
      <c r="D22" s="380"/>
      <c r="E22" s="379"/>
      <c r="F22" s="383"/>
      <c r="G22" s="383"/>
      <c r="H22" s="578"/>
      <c r="I22" s="133" t="s">
        <v>599</v>
      </c>
      <c r="J22" s="39" t="s">
        <v>597</v>
      </c>
      <c r="K22" s="22">
        <v>1</v>
      </c>
      <c r="L22" s="134">
        <f>747*K22</f>
        <v>747</v>
      </c>
    </row>
    <row r="23" spans="1:12" s="10" customFormat="1" ht="49.95" customHeight="1" x14ac:dyDescent="0.25">
      <c r="A23" s="649"/>
      <c r="B23" s="647">
        <v>10</v>
      </c>
      <c r="C23" s="658">
        <v>44998</v>
      </c>
      <c r="D23" s="380">
        <v>2023031300009</v>
      </c>
      <c r="E23" s="664" t="s">
        <v>44</v>
      </c>
      <c r="F23" s="666" t="s">
        <v>537</v>
      </c>
      <c r="G23" s="383" t="s">
        <v>529</v>
      </c>
      <c r="H23" s="578">
        <v>44999</v>
      </c>
      <c r="I23" s="133" t="s">
        <v>598</v>
      </c>
      <c r="J23" s="39" t="s">
        <v>595</v>
      </c>
      <c r="K23" s="22">
        <v>1</v>
      </c>
      <c r="L23" s="134">
        <f>9410*K23</f>
        <v>9410</v>
      </c>
    </row>
    <row r="24" spans="1:12" ht="49.95" customHeight="1" thickBot="1" x14ac:dyDescent="0.3">
      <c r="A24" s="649"/>
      <c r="B24" s="505"/>
      <c r="C24" s="608"/>
      <c r="D24" s="414"/>
      <c r="E24" s="665"/>
      <c r="F24" s="667"/>
      <c r="G24" s="491"/>
      <c r="H24" s="576"/>
      <c r="I24" s="175" t="s">
        <v>599</v>
      </c>
      <c r="J24" s="178" t="s">
        <v>597</v>
      </c>
      <c r="K24" s="199">
        <v>1</v>
      </c>
      <c r="L24" s="177">
        <f>747*K24</f>
        <v>747</v>
      </c>
    </row>
    <row r="25" spans="1:12" ht="30" customHeight="1" thickTop="1" x14ac:dyDescent="0.25">
      <c r="A25" s="649"/>
      <c r="B25" s="630" t="s">
        <v>631</v>
      </c>
      <c r="C25" s="631"/>
      <c r="D25" s="631"/>
      <c r="E25" s="631"/>
      <c r="F25" s="631"/>
      <c r="G25" s="631"/>
      <c r="H25" s="632"/>
      <c r="I25" s="208" t="s">
        <v>598</v>
      </c>
      <c r="J25" s="209" t="s">
        <v>595</v>
      </c>
      <c r="K25" s="211">
        <v>10</v>
      </c>
      <c r="L25" s="210"/>
    </row>
    <row r="26" spans="1:12" ht="30" customHeight="1" thickBot="1" x14ac:dyDescent="0.3">
      <c r="A26" s="649"/>
      <c r="B26" s="633"/>
      <c r="C26" s="634"/>
      <c r="D26" s="634"/>
      <c r="E26" s="634"/>
      <c r="F26" s="634"/>
      <c r="G26" s="634"/>
      <c r="H26" s="635"/>
      <c r="I26" s="231" t="s">
        <v>599</v>
      </c>
      <c r="J26" s="232" t="s">
        <v>597</v>
      </c>
      <c r="K26" s="233">
        <v>10</v>
      </c>
      <c r="L26" s="224"/>
    </row>
    <row r="27" spans="1:12" ht="49.95" customHeight="1" x14ac:dyDescent="0.25">
      <c r="A27" s="656">
        <v>3</v>
      </c>
      <c r="B27" s="651">
        <v>1</v>
      </c>
      <c r="C27" s="434">
        <v>44998</v>
      </c>
      <c r="D27" s="447">
        <v>2023031400002</v>
      </c>
      <c r="E27" s="449" t="s">
        <v>454</v>
      </c>
      <c r="F27" s="432" t="s">
        <v>539</v>
      </c>
      <c r="G27" s="432" t="s">
        <v>540</v>
      </c>
      <c r="H27" s="577">
        <v>44999</v>
      </c>
      <c r="I27" s="141" t="s">
        <v>598</v>
      </c>
      <c r="J27" s="101" t="s">
        <v>595</v>
      </c>
      <c r="K27" s="186">
        <v>1</v>
      </c>
      <c r="L27" s="142">
        <f>9410*K27</f>
        <v>9410</v>
      </c>
    </row>
    <row r="28" spans="1:12" ht="49.95" customHeight="1" x14ac:dyDescent="0.25">
      <c r="A28" s="649"/>
      <c r="B28" s="647"/>
      <c r="C28" s="382"/>
      <c r="D28" s="380"/>
      <c r="E28" s="379"/>
      <c r="F28" s="383"/>
      <c r="G28" s="383"/>
      <c r="H28" s="578"/>
      <c r="I28" s="133" t="s">
        <v>599</v>
      </c>
      <c r="J28" s="39" t="s">
        <v>597</v>
      </c>
      <c r="K28" s="22">
        <v>1</v>
      </c>
      <c r="L28" s="134">
        <f>747*K28</f>
        <v>747</v>
      </c>
    </row>
    <row r="29" spans="1:12" ht="49.95" customHeight="1" x14ac:dyDescent="0.25">
      <c r="A29" s="649"/>
      <c r="B29" s="647">
        <v>2</v>
      </c>
      <c r="C29" s="382">
        <v>44998</v>
      </c>
      <c r="D29" s="380">
        <v>2023031400003</v>
      </c>
      <c r="E29" s="379" t="s">
        <v>454</v>
      </c>
      <c r="F29" s="383" t="s">
        <v>541</v>
      </c>
      <c r="G29" s="383" t="s">
        <v>527</v>
      </c>
      <c r="H29" s="578">
        <v>44999</v>
      </c>
      <c r="I29" s="133" t="s">
        <v>598</v>
      </c>
      <c r="J29" s="39" t="s">
        <v>595</v>
      </c>
      <c r="K29" s="22">
        <v>1</v>
      </c>
      <c r="L29" s="134">
        <f>9410*K29</f>
        <v>9410</v>
      </c>
    </row>
    <row r="30" spans="1:12" ht="49.95" customHeight="1" x14ac:dyDescent="0.25">
      <c r="A30" s="649"/>
      <c r="B30" s="647"/>
      <c r="C30" s="382"/>
      <c r="D30" s="380"/>
      <c r="E30" s="379"/>
      <c r="F30" s="383"/>
      <c r="G30" s="383"/>
      <c r="H30" s="578"/>
      <c r="I30" s="133" t="s">
        <v>599</v>
      </c>
      <c r="J30" s="39" t="s">
        <v>597</v>
      </c>
      <c r="K30" s="22">
        <v>1</v>
      </c>
      <c r="L30" s="134">
        <f>747*K30</f>
        <v>747</v>
      </c>
    </row>
    <row r="31" spans="1:12" s="10" customFormat="1" ht="49.95" customHeight="1" x14ac:dyDescent="0.25">
      <c r="A31" s="649"/>
      <c r="B31" s="647">
        <v>3</v>
      </c>
      <c r="C31" s="382">
        <v>44998</v>
      </c>
      <c r="D31" s="380">
        <v>2023031400004</v>
      </c>
      <c r="E31" s="379" t="s">
        <v>538</v>
      </c>
      <c r="F31" s="383" t="s">
        <v>542</v>
      </c>
      <c r="G31" s="383" t="s">
        <v>527</v>
      </c>
      <c r="H31" s="578">
        <v>44999</v>
      </c>
      <c r="I31" s="133" t="s">
        <v>598</v>
      </c>
      <c r="J31" s="39" t="s">
        <v>595</v>
      </c>
      <c r="K31" s="22">
        <v>1</v>
      </c>
      <c r="L31" s="134">
        <f>9410*K31</f>
        <v>9410</v>
      </c>
    </row>
    <row r="32" spans="1:12" s="10" customFormat="1" ht="49.95" customHeight="1" x14ac:dyDescent="0.25">
      <c r="A32" s="649"/>
      <c r="B32" s="647"/>
      <c r="C32" s="382"/>
      <c r="D32" s="380"/>
      <c r="E32" s="379"/>
      <c r="F32" s="383"/>
      <c r="G32" s="383"/>
      <c r="H32" s="578"/>
      <c r="I32" s="133" t="s">
        <v>599</v>
      </c>
      <c r="J32" s="39" t="s">
        <v>597</v>
      </c>
      <c r="K32" s="22">
        <v>1</v>
      </c>
      <c r="L32" s="134">
        <f>747*K32</f>
        <v>747</v>
      </c>
    </row>
    <row r="33" spans="1:12" s="10" customFormat="1" ht="49.95" customHeight="1" x14ac:dyDescent="0.25">
      <c r="A33" s="649"/>
      <c r="B33" s="647">
        <v>4</v>
      </c>
      <c r="C33" s="382">
        <v>44998</v>
      </c>
      <c r="D33" s="380">
        <v>2023031500006</v>
      </c>
      <c r="E33" s="379" t="s">
        <v>538</v>
      </c>
      <c r="F33" s="383" t="s">
        <v>543</v>
      </c>
      <c r="G33" s="663" t="s">
        <v>544</v>
      </c>
      <c r="H33" s="578">
        <v>44999</v>
      </c>
      <c r="I33" s="133" t="s">
        <v>599</v>
      </c>
      <c r="J33" s="39" t="s">
        <v>597</v>
      </c>
      <c r="K33" s="22">
        <v>1</v>
      </c>
      <c r="L33" s="134">
        <f>747*K33</f>
        <v>747</v>
      </c>
    </row>
    <row r="34" spans="1:12" s="10" customFormat="1" ht="49.95" customHeight="1" x14ac:dyDescent="0.25">
      <c r="A34" s="649"/>
      <c r="B34" s="647"/>
      <c r="C34" s="382"/>
      <c r="D34" s="380"/>
      <c r="E34" s="379"/>
      <c r="F34" s="383"/>
      <c r="G34" s="663"/>
      <c r="H34" s="578"/>
      <c r="I34" s="133" t="s">
        <v>602</v>
      </c>
      <c r="J34" s="39" t="s">
        <v>600</v>
      </c>
      <c r="K34" s="22">
        <v>1</v>
      </c>
      <c r="L34" s="134">
        <f>933*K34</f>
        <v>933</v>
      </c>
    </row>
    <row r="35" spans="1:12" s="10" customFormat="1" ht="49.95" customHeight="1" x14ac:dyDescent="0.25">
      <c r="A35" s="649"/>
      <c r="B35" s="647"/>
      <c r="C35" s="382"/>
      <c r="D35" s="380"/>
      <c r="E35" s="379"/>
      <c r="F35" s="383"/>
      <c r="G35" s="663"/>
      <c r="H35" s="578"/>
      <c r="I35" s="133" t="s">
        <v>601</v>
      </c>
      <c r="J35" s="39" t="s">
        <v>600</v>
      </c>
      <c r="K35" s="22">
        <v>1</v>
      </c>
      <c r="L35" s="134">
        <f>2988*K35</f>
        <v>2988</v>
      </c>
    </row>
    <row r="36" spans="1:12" s="10" customFormat="1" ht="100.05" customHeight="1" thickBot="1" x14ac:dyDescent="0.3">
      <c r="A36" s="649"/>
      <c r="B36" s="234">
        <v>5</v>
      </c>
      <c r="C36" s="235">
        <v>44999</v>
      </c>
      <c r="D36" s="218">
        <v>2023031400008</v>
      </c>
      <c r="E36" s="219" t="s">
        <v>538</v>
      </c>
      <c r="F36" s="220" t="s">
        <v>545</v>
      </c>
      <c r="G36" s="205" t="s">
        <v>546</v>
      </c>
      <c r="H36" s="196">
        <v>45000</v>
      </c>
      <c r="I36" s="175" t="s">
        <v>603</v>
      </c>
      <c r="J36" s="178" t="s">
        <v>604</v>
      </c>
      <c r="K36" s="199">
        <v>1</v>
      </c>
      <c r="L36" s="177">
        <f>283*K36</f>
        <v>283</v>
      </c>
    </row>
    <row r="37" spans="1:12" s="10" customFormat="1" ht="30" customHeight="1" thickTop="1" x14ac:dyDescent="0.25">
      <c r="A37" s="649"/>
      <c r="B37" s="630" t="s">
        <v>640</v>
      </c>
      <c r="C37" s="631"/>
      <c r="D37" s="631"/>
      <c r="E37" s="631"/>
      <c r="F37" s="631"/>
      <c r="G37" s="631"/>
      <c r="H37" s="632"/>
      <c r="I37" s="208" t="s">
        <v>598</v>
      </c>
      <c r="J37" s="209" t="s">
        <v>595</v>
      </c>
      <c r="K37" s="211">
        <f>K27+K29+K31</f>
        <v>3</v>
      </c>
      <c r="L37" s="212"/>
    </row>
    <row r="38" spans="1:12" s="10" customFormat="1" ht="30" customHeight="1" x14ac:dyDescent="0.25">
      <c r="A38" s="649"/>
      <c r="B38" s="633"/>
      <c r="C38" s="634"/>
      <c r="D38" s="634"/>
      <c r="E38" s="634"/>
      <c r="F38" s="634"/>
      <c r="G38" s="634"/>
      <c r="H38" s="635"/>
      <c r="I38" s="201" t="s">
        <v>599</v>
      </c>
      <c r="J38" s="202" t="s">
        <v>597</v>
      </c>
      <c r="K38" s="203">
        <f>K28+K30+K32+K33</f>
        <v>4</v>
      </c>
      <c r="L38" s="198"/>
    </row>
    <row r="39" spans="1:12" s="10" customFormat="1" ht="30" customHeight="1" x14ac:dyDescent="0.25">
      <c r="A39" s="649"/>
      <c r="B39" s="633"/>
      <c r="C39" s="634"/>
      <c r="D39" s="634"/>
      <c r="E39" s="634"/>
      <c r="F39" s="634"/>
      <c r="G39" s="634"/>
      <c r="H39" s="635"/>
      <c r="I39" s="201" t="s">
        <v>602</v>
      </c>
      <c r="J39" s="202" t="s">
        <v>600</v>
      </c>
      <c r="K39" s="203">
        <f>K34</f>
        <v>1</v>
      </c>
      <c r="L39" s="198"/>
    </row>
    <row r="40" spans="1:12" s="10" customFormat="1" ht="30" customHeight="1" x14ac:dyDescent="0.25">
      <c r="A40" s="649"/>
      <c r="B40" s="633"/>
      <c r="C40" s="634"/>
      <c r="D40" s="634"/>
      <c r="E40" s="634"/>
      <c r="F40" s="634"/>
      <c r="G40" s="634"/>
      <c r="H40" s="635"/>
      <c r="I40" s="201" t="s">
        <v>636</v>
      </c>
      <c r="J40" s="202" t="s">
        <v>637</v>
      </c>
      <c r="K40" s="203">
        <f>K35</f>
        <v>1</v>
      </c>
      <c r="L40" s="198"/>
    </row>
    <row r="41" spans="1:12" s="10" customFormat="1" ht="30" customHeight="1" thickBot="1" x14ac:dyDescent="0.3">
      <c r="A41" s="649"/>
      <c r="B41" s="633"/>
      <c r="C41" s="634"/>
      <c r="D41" s="634"/>
      <c r="E41" s="634"/>
      <c r="F41" s="634"/>
      <c r="G41" s="634"/>
      <c r="H41" s="635"/>
      <c r="I41" s="231" t="s">
        <v>638</v>
      </c>
      <c r="J41" s="232" t="s">
        <v>639</v>
      </c>
      <c r="K41" s="233">
        <f>K36</f>
        <v>1</v>
      </c>
      <c r="L41" s="198"/>
    </row>
    <row r="42" spans="1:12" ht="100.05" customHeight="1" x14ac:dyDescent="0.25">
      <c r="A42" s="656">
        <v>4</v>
      </c>
      <c r="B42" s="241">
        <v>1</v>
      </c>
      <c r="C42" s="191">
        <v>44999</v>
      </c>
      <c r="D42" s="192">
        <v>2023031400006</v>
      </c>
      <c r="E42" s="193" t="s">
        <v>454</v>
      </c>
      <c r="F42" s="194" t="s">
        <v>547</v>
      </c>
      <c r="G42" s="194" t="s">
        <v>548</v>
      </c>
      <c r="H42" s="195">
        <v>45000</v>
      </c>
      <c r="I42" s="141" t="s">
        <v>605</v>
      </c>
      <c r="J42" s="172" t="s">
        <v>600</v>
      </c>
      <c r="K42" s="185">
        <v>1</v>
      </c>
      <c r="L42" s="142">
        <f>1062*1</f>
        <v>1062</v>
      </c>
    </row>
    <row r="43" spans="1:12" ht="100.05" customHeight="1" thickBot="1" x14ac:dyDescent="0.3">
      <c r="A43" s="649"/>
      <c r="B43" s="234">
        <v>2</v>
      </c>
      <c r="C43" s="197">
        <v>44999</v>
      </c>
      <c r="D43" s="218">
        <v>2023031400007</v>
      </c>
      <c r="E43" s="219" t="s">
        <v>454</v>
      </c>
      <c r="F43" s="220" t="s">
        <v>549</v>
      </c>
      <c r="G43" s="220" t="s">
        <v>550</v>
      </c>
      <c r="H43" s="196">
        <v>45000</v>
      </c>
      <c r="I43" s="175" t="s">
        <v>605</v>
      </c>
      <c r="J43" s="176" t="s">
        <v>600</v>
      </c>
      <c r="K43" s="213">
        <v>1</v>
      </c>
      <c r="L43" s="177">
        <f>1062*1</f>
        <v>1062</v>
      </c>
    </row>
    <row r="44" spans="1:12" ht="30" customHeight="1" thickTop="1" thickBot="1" x14ac:dyDescent="0.3">
      <c r="A44" s="650"/>
      <c r="B44" s="661" t="s">
        <v>641</v>
      </c>
      <c r="C44" s="661"/>
      <c r="D44" s="661"/>
      <c r="E44" s="661"/>
      <c r="F44" s="661"/>
      <c r="G44" s="661"/>
      <c r="H44" s="662"/>
      <c r="I44" s="214" t="s">
        <v>605</v>
      </c>
      <c r="J44" s="215" t="s">
        <v>600</v>
      </c>
      <c r="K44" s="216">
        <v>2</v>
      </c>
      <c r="L44" s="217"/>
    </row>
    <row r="45" spans="1:12" ht="100.05" customHeight="1" thickBot="1" x14ac:dyDescent="0.3">
      <c r="A45" s="225">
        <v>5</v>
      </c>
      <c r="B45" s="106">
        <v>1</v>
      </c>
      <c r="C45" s="206">
        <v>44999</v>
      </c>
      <c r="D45" s="165">
        <v>2023031400009</v>
      </c>
      <c r="E45" s="168" t="s">
        <v>454</v>
      </c>
      <c r="F45" s="99" t="s">
        <v>551</v>
      </c>
      <c r="G45" s="99" t="s">
        <v>552</v>
      </c>
      <c r="H45" s="146">
        <v>45000</v>
      </c>
      <c r="I45" s="169" t="s">
        <v>606</v>
      </c>
      <c r="J45" s="171" t="s">
        <v>597</v>
      </c>
      <c r="K45" s="183" t="s">
        <v>596</v>
      </c>
      <c r="L45" s="166">
        <f>1529*1</f>
        <v>1529</v>
      </c>
    </row>
    <row r="46" spans="1:12" ht="60" customHeight="1" x14ac:dyDescent="0.25">
      <c r="A46" s="653">
        <v>6</v>
      </c>
      <c r="B46" s="659">
        <v>1</v>
      </c>
      <c r="C46" s="607">
        <v>45000</v>
      </c>
      <c r="D46" s="447">
        <v>2023031600001</v>
      </c>
      <c r="E46" s="449" t="s">
        <v>553</v>
      </c>
      <c r="F46" s="432" t="s">
        <v>554</v>
      </c>
      <c r="G46" s="432" t="s">
        <v>555</v>
      </c>
      <c r="H46" s="577">
        <v>45002</v>
      </c>
      <c r="I46" s="141" t="s">
        <v>608</v>
      </c>
      <c r="J46" s="172" t="s">
        <v>607</v>
      </c>
      <c r="K46" s="185">
        <v>2</v>
      </c>
      <c r="L46" s="142">
        <f>213*K46</f>
        <v>426</v>
      </c>
    </row>
    <row r="47" spans="1:12" ht="60" customHeight="1" thickBot="1" x14ac:dyDescent="0.3">
      <c r="A47" s="655"/>
      <c r="B47" s="660"/>
      <c r="C47" s="609"/>
      <c r="D47" s="448"/>
      <c r="E47" s="450"/>
      <c r="F47" s="433"/>
      <c r="G47" s="433"/>
      <c r="H47" s="583"/>
      <c r="I47" s="143" t="s">
        <v>611</v>
      </c>
      <c r="J47" s="173" t="s">
        <v>609</v>
      </c>
      <c r="K47" s="182" t="s">
        <v>610</v>
      </c>
      <c r="L47" s="144">
        <f>26*52</f>
        <v>1352</v>
      </c>
    </row>
    <row r="48" spans="1:12" ht="60" customHeight="1" x14ac:dyDescent="0.25">
      <c r="A48" s="653">
        <v>7</v>
      </c>
      <c r="B48" s="659">
        <v>1</v>
      </c>
      <c r="C48" s="607">
        <v>45009</v>
      </c>
      <c r="D48" s="447">
        <v>2023032400003</v>
      </c>
      <c r="E48" s="449" t="s">
        <v>553</v>
      </c>
      <c r="F48" s="432" t="s">
        <v>556</v>
      </c>
      <c r="G48" s="432" t="s">
        <v>557</v>
      </c>
      <c r="H48" s="577">
        <v>45013</v>
      </c>
      <c r="I48" s="141" t="s">
        <v>632</v>
      </c>
      <c r="J48" s="172" t="s">
        <v>607</v>
      </c>
      <c r="K48" s="185">
        <v>2</v>
      </c>
      <c r="L48" s="142">
        <f>213*2</f>
        <v>426</v>
      </c>
    </row>
    <row r="49" spans="1:12" ht="60" customHeight="1" thickBot="1" x14ac:dyDescent="0.3">
      <c r="A49" s="655"/>
      <c r="B49" s="660"/>
      <c r="C49" s="609"/>
      <c r="D49" s="448"/>
      <c r="E49" s="450"/>
      <c r="F49" s="433"/>
      <c r="G49" s="433"/>
      <c r="H49" s="583"/>
      <c r="I49" s="143" t="s">
        <v>611</v>
      </c>
      <c r="J49" s="173" t="s">
        <v>609</v>
      </c>
      <c r="K49" s="182" t="s">
        <v>610</v>
      </c>
      <c r="L49" s="144">
        <f>26*52</f>
        <v>1352</v>
      </c>
    </row>
    <row r="50" spans="1:12" ht="60" customHeight="1" x14ac:dyDescent="0.25">
      <c r="A50" s="653">
        <v>8</v>
      </c>
      <c r="B50" s="659">
        <v>1</v>
      </c>
      <c r="C50" s="607">
        <v>45009</v>
      </c>
      <c r="D50" s="447">
        <v>2023032400011</v>
      </c>
      <c r="E50" s="449" t="s">
        <v>892</v>
      </c>
      <c r="F50" s="432" t="s">
        <v>558</v>
      </c>
      <c r="G50" s="432" t="s">
        <v>559</v>
      </c>
      <c r="H50" s="577">
        <v>45014</v>
      </c>
      <c r="I50" s="141" t="s">
        <v>612</v>
      </c>
      <c r="J50" s="172" t="s">
        <v>600</v>
      </c>
      <c r="K50" s="181" t="s">
        <v>613</v>
      </c>
      <c r="L50" s="142">
        <f>902*4</f>
        <v>3608</v>
      </c>
    </row>
    <row r="51" spans="1:12" ht="60" customHeight="1" thickBot="1" x14ac:dyDescent="0.3">
      <c r="A51" s="655"/>
      <c r="B51" s="660"/>
      <c r="C51" s="609"/>
      <c r="D51" s="448"/>
      <c r="E51" s="450"/>
      <c r="F51" s="433"/>
      <c r="G51" s="433"/>
      <c r="H51" s="583"/>
      <c r="I51" s="143" t="s">
        <v>616</v>
      </c>
      <c r="J51" s="173" t="s">
        <v>614</v>
      </c>
      <c r="K51" s="182" t="s">
        <v>615</v>
      </c>
      <c r="L51" s="144">
        <f>580*6</f>
        <v>3480</v>
      </c>
    </row>
    <row r="52" spans="1:12" ht="49.95" customHeight="1" x14ac:dyDescent="0.25">
      <c r="A52" s="653">
        <v>9</v>
      </c>
      <c r="B52" s="659">
        <v>1</v>
      </c>
      <c r="C52" s="607">
        <v>45012</v>
      </c>
      <c r="D52" s="447">
        <v>2023032700011</v>
      </c>
      <c r="E52" s="449" t="s">
        <v>454</v>
      </c>
      <c r="F52" s="432" t="s">
        <v>560</v>
      </c>
      <c r="G52" s="432" t="s">
        <v>561</v>
      </c>
      <c r="H52" s="577">
        <v>45013</v>
      </c>
      <c r="I52" s="133" t="s">
        <v>598</v>
      </c>
      <c r="J52" s="39" t="s">
        <v>595</v>
      </c>
      <c r="K52" s="21" t="s">
        <v>596</v>
      </c>
      <c r="L52" s="134">
        <f>9410*K52</f>
        <v>9410</v>
      </c>
    </row>
    <row r="53" spans="1:12" ht="49.95" customHeight="1" x14ac:dyDescent="0.25">
      <c r="A53" s="654"/>
      <c r="B53" s="411"/>
      <c r="C53" s="658"/>
      <c r="D53" s="380"/>
      <c r="E53" s="379"/>
      <c r="F53" s="383"/>
      <c r="G53" s="383"/>
      <c r="H53" s="578"/>
      <c r="I53" s="133" t="s">
        <v>599</v>
      </c>
      <c r="J53" s="39" t="s">
        <v>597</v>
      </c>
      <c r="K53" s="21" t="s">
        <v>596</v>
      </c>
      <c r="L53" s="134">
        <f>747*K53</f>
        <v>747</v>
      </c>
    </row>
    <row r="54" spans="1:12" ht="49.95" customHeight="1" x14ac:dyDescent="0.25">
      <c r="A54" s="654"/>
      <c r="B54" s="406">
        <v>2</v>
      </c>
      <c r="C54" s="658">
        <v>45012</v>
      </c>
      <c r="D54" s="380">
        <v>2023032700004</v>
      </c>
      <c r="E54" s="379" t="s">
        <v>454</v>
      </c>
      <c r="F54" s="383" t="s">
        <v>562</v>
      </c>
      <c r="G54" s="383" t="s">
        <v>563</v>
      </c>
      <c r="H54" s="578">
        <v>45013</v>
      </c>
      <c r="I54" s="133" t="s">
        <v>598</v>
      </c>
      <c r="J54" s="39" t="s">
        <v>595</v>
      </c>
      <c r="K54" s="21" t="s">
        <v>596</v>
      </c>
      <c r="L54" s="134">
        <f>9410*K54</f>
        <v>9410</v>
      </c>
    </row>
    <row r="55" spans="1:12" ht="49.95" customHeight="1" thickBot="1" x14ac:dyDescent="0.3">
      <c r="A55" s="655"/>
      <c r="B55" s="660"/>
      <c r="C55" s="658"/>
      <c r="D55" s="380"/>
      <c r="E55" s="379"/>
      <c r="F55" s="383"/>
      <c r="G55" s="383"/>
      <c r="H55" s="578"/>
      <c r="I55" s="133" t="s">
        <v>599</v>
      </c>
      <c r="J55" s="39" t="s">
        <v>597</v>
      </c>
      <c r="K55" s="21" t="s">
        <v>596</v>
      </c>
      <c r="L55" s="134">
        <f>747*K55</f>
        <v>747</v>
      </c>
    </row>
    <row r="56" spans="1:12" ht="49.95" customHeight="1" x14ac:dyDescent="0.25">
      <c r="A56" s="656">
        <v>9</v>
      </c>
      <c r="B56" s="659">
        <v>3</v>
      </c>
      <c r="C56" s="658">
        <v>45006</v>
      </c>
      <c r="D56" s="380">
        <v>2023032800001</v>
      </c>
      <c r="E56" s="379" t="s">
        <v>454</v>
      </c>
      <c r="F56" s="383" t="s">
        <v>564</v>
      </c>
      <c r="G56" s="383" t="s">
        <v>565</v>
      </c>
      <c r="H56" s="578">
        <v>45007</v>
      </c>
      <c r="I56" s="133" t="s">
        <v>598</v>
      </c>
      <c r="J56" s="39" t="s">
        <v>595</v>
      </c>
      <c r="K56" s="21" t="s">
        <v>596</v>
      </c>
      <c r="L56" s="134">
        <f>9410*K56</f>
        <v>9410</v>
      </c>
    </row>
    <row r="57" spans="1:12" ht="49.95" customHeight="1" x14ac:dyDescent="0.25">
      <c r="A57" s="649"/>
      <c r="B57" s="411"/>
      <c r="C57" s="658"/>
      <c r="D57" s="380"/>
      <c r="E57" s="379"/>
      <c r="F57" s="383"/>
      <c r="G57" s="383"/>
      <c r="H57" s="578"/>
      <c r="I57" s="133" t="s">
        <v>599</v>
      </c>
      <c r="J57" s="39" t="s">
        <v>597</v>
      </c>
      <c r="K57" s="21" t="s">
        <v>596</v>
      </c>
      <c r="L57" s="134">
        <f>747*K57</f>
        <v>747</v>
      </c>
    </row>
    <row r="58" spans="1:12" ht="49.95" customHeight="1" x14ac:dyDescent="0.25">
      <c r="A58" s="649"/>
      <c r="B58" s="405">
        <v>4</v>
      </c>
      <c r="C58" s="658">
        <v>45012</v>
      </c>
      <c r="D58" s="380">
        <v>2023032700003</v>
      </c>
      <c r="E58" s="379" t="s">
        <v>454</v>
      </c>
      <c r="F58" s="383" t="s">
        <v>566</v>
      </c>
      <c r="G58" s="383" t="s">
        <v>567</v>
      </c>
      <c r="H58" s="578">
        <v>45013</v>
      </c>
      <c r="I58" s="133" t="s">
        <v>598</v>
      </c>
      <c r="J58" s="39" t="s">
        <v>595</v>
      </c>
      <c r="K58" s="21" t="s">
        <v>596</v>
      </c>
      <c r="L58" s="134">
        <f>9410*K58</f>
        <v>9410</v>
      </c>
    </row>
    <row r="59" spans="1:12" s="53" customFormat="1" ht="49.95" customHeight="1" x14ac:dyDescent="0.25">
      <c r="A59" s="649"/>
      <c r="B59" s="411"/>
      <c r="C59" s="658"/>
      <c r="D59" s="380"/>
      <c r="E59" s="379"/>
      <c r="F59" s="383"/>
      <c r="G59" s="383"/>
      <c r="H59" s="578"/>
      <c r="I59" s="133" t="s">
        <v>599</v>
      </c>
      <c r="J59" s="39" t="s">
        <v>597</v>
      </c>
      <c r="K59" s="21" t="s">
        <v>596</v>
      </c>
      <c r="L59" s="134">
        <f>747*K59</f>
        <v>747</v>
      </c>
    </row>
    <row r="60" spans="1:12" s="53" customFormat="1" ht="49.95" customHeight="1" x14ac:dyDescent="0.25">
      <c r="A60" s="649"/>
      <c r="B60" s="406">
        <v>5</v>
      </c>
      <c r="C60" s="658">
        <v>45006</v>
      </c>
      <c r="D60" s="380">
        <v>2023032800002</v>
      </c>
      <c r="E60" s="379" t="s">
        <v>454</v>
      </c>
      <c r="F60" s="383" t="s">
        <v>568</v>
      </c>
      <c r="G60" s="383" t="s">
        <v>569</v>
      </c>
      <c r="H60" s="578">
        <v>45007</v>
      </c>
      <c r="I60" s="133" t="s">
        <v>598</v>
      </c>
      <c r="J60" s="39" t="s">
        <v>595</v>
      </c>
      <c r="K60" s="21" t="s">
        <v>596</v>
      </c>
      <c r="L60" s="134">
        <f>9410*K60</f>
        <v>9410</v>
      </c>
    </row>
    <row r="61" spans="1:12" s="53" customFormat="1" ht="49.95" customHeight="1" thickBot="1" x14ac:dyDescent="0.3">
      <c r="A61" s="649"/>
      <c r="B61" s="406"/>
      <c r="C61" s="608"/>
      <c r="D61" s="414"/>
      <c r="E61" s="463"/>
      <c r="F61" s="491"/>
      <c r="G61" s="491"/>
      <c r="H61" s="576"/>
      <c r="I61" s="175" t="s">
        <v>599</v>
      </c>
      <c r="J61" s="178" t="s">
        <v>597</v>
      </c>
      <c r="K61" s="207" t="s">
        <v>596</v>
      </c>
      <c r="L61" s="177">
        <f>747*K61</f>
        <v>747</v>
      </c>
    </row>
    <row r="62" spans="1:12" s="53" customFormat="1" ht="30" customHeight="1" thickTop="1" x14ac:dyDescent="0.25">
      <c r="A62" s="649"/>
      <c r="B62" s="630" t="s">
        <v>651</v>
      </c>
      <c r="C62" s="631"/>
      <c r="D62" s="631"/>
      <c r="E62" s="631"/>
      <c r="F62" s="631"/>
      <c r="G62" s="631"/>
      <c r="H62" s="632"/>
      <c r="I62" s="208" t="s">
        <v>598</v>
      </c>
      <c r="J62" s="222" t="s">
        <v>595</v>
      </c>
      <c r="K62" s="226">
        <f>K52+K54+K56+K58+K60</f>
        <v>5</v>
      </c>
      <c r="L62" s="210"/>
    </row>
    <row r="63" spans="1:12" s="53" customFormat="1" ht="30" customHeight="1" thickBot="1" x14ac:dyDescent="0.3">
      <c r="A63" s="649"/>
      <c r="B63" s="633"/>
      <c r="C63" s="634"/>
      <c r="D63" s="634"/>
      <c r="E63" s="634"/>
      <c r="F63" s="634"/>
      <c r="G63" s="634"/>
      <c r="H63" s="635"/>
      <c r="I63" s="231" t="s">
        <v>599</v>
      </c>
      <c r="J63" s="236" t="s">
        <v>597</v>
      </c>
      <c r="K63" s="237">
        <f>K53+K55+K57+K59+K61</f>
        <v>5</v>
      </c>
      <c r="L63" s="224"/>
    </row>
    <row r="64" spans="1:12" s="53" customFormat="1" ht="49.95" customHeight="1" x14ac:dyDescent="0.25">
      <c r="A64" s="653">
        <v>10</v>
      </c>
      <c r="B64" s="651">
        <v>1</v>
      </c>
      <c r="C64" s="434">
        <v>45012</v>
      </c>
      <c r="D64" s="447">
        <v>2023032700001</v>
      </c>
      <c r="E64" s="449" t="s">
        <v>454</v>
      </c>
      <c r="F64" s="432" t="s">
        <v>570</v>
      </c>
      <c r="G64" s="432" t="s">
        <v>571</v>
      </c>
      <c r="H64" s="577">
        <v>45015</v>
      </c>
      <c r="I64" s="141" t="s">
        <v>617</v>
      </c>
      <c r="J64" s="238" t="s">
        <v>618</v>
      </c>
      <c r="K64" s="239">
        <v>150</v>
      </c>
      <c r="L64" s="142">
        <f>47*150</f>
        <v>7050</v>
      </c>
    </row>
    <row r="65" spans="1:12" s="53" customFormat="1" ht="49.95" customHeight="1" x14ac:dyDescent="0.25">
      <c r="A65" s="654"/>
      <c r="B65" s="647"/>
      <c r="C65" s="382"/>
      <c r="D65" s="380"/>
      <c r="E65" s="379"/>
      <c r="F65" s="383"/>
      <c r="G65" s="383"/>
      <c r="H65" s="578"/>
      <c r="I65" s="133" t="s">
        <v>619</v>
      </c>
      <c r="J65" s="179" t="s">
        <v>618</v>
      </c>
      <c r="K65" s="21">
        <v>5</v>
      </c>
      <c r="L65" s="134">
        <f>51*5</f>
        <v>255</v>
      </c>
    </row>
    <row r="66" spans="1:12" s="53" customFormat="1" ht="49.95" customHeight="1" x14ac:dyDescent="0.25">
      <c r="A66" s="654"/>
      <c r="B66" s="647"/>
      <c r="C66" s="382"/>
      <c r="D66" s="380"/>
      <c r="E66" s="379"/>
      <c r="F66" s="383"/>
      <c r="G66" s="383"/>
      <c r="H66" s="578"/>
      <c r="I66" s="133" t="s">
        <v>620</v>
      </c>
      <c r="J66" s="179" t="s">
        <v>621</v>
      </c>
      <c r="K66" s="21">
        <v>1</v>
      </c>
      <c r="L66" s="134">
        <f>471*1</f>
        <v>471</v>
      </c>
    </row>
    <row r="67" spans="1:12" s="53" customFormat="1" ht="49.95" customHeight="1" x14ac:dyDescent="0.25">
      <c r="A67" s="654"/>
      <c r="B67" s="647">
        <v>2</v>
      </c>
      <c r="C67" s="382">
        <v>45012</v>
      </c>
      <c r="D67" s="380">
        <v>2023032700002</v>
      </c>
      <c r="E67" s="379" t="s">
        <v>454</v>
      </c>
      <c r="F67" s="383" t="s">
        <v>572</v>
      </c>
      <c r="G67" s="383" t="s">
        <v>573</v>
      </c>
      <c r="H67" s="578">
        <v>45015</v>
      </c>
      <c r="I67" s="133" t="s">
        <v>617</v>
      </c>
      <c r="J67" s="179" t="s">
        <v>618</v>
      </c>
      <c r="K67" s="21">
        <v>125</v>
      </c>
      <c r="L67" s="134">
        <f>47*125</f>
        <v>5875</v>
      </c>
    </row>
    <row r="68" spans="1:12" s="53" customFormat="1" ht="49.95" customHeight="1" x14ac:dyDescent="0.25">
      <c r="A68" s="654"/>
      <c r="B68" s="647"/>
      <c r="C68" s="382"/>
      <c r="D68" s="380"/>
      <c r="E68" s="379"/>
      <c r="F68" s="383"/>
      <c r="G68" s="383"/>
      <c r="H68" s="578"/>
      <c r="I68" s="133" t="s">
        <v>619</v>
      </c>
      <c r="J68" s="179" t="s">
        <v>618</v>
      </c>
      <c r="K68" s="21">
        <v>10</v>
      </c>
      <c r="L68" s="134">
        <f>51*10</f>
        <v>510</v>
      </c>
    </row>
    <row r="69" spans="1:12" s="53" customFormat="1" ht="49.95" customHeight="1" x14ac:dyDescent="0.25">
      <c r="A69" s="654"/>
      <c r="B69" s="647">
        <v>3</v>
      </c>
      <c r="C69" s="382">
        <v>45006</v>
      </c>
      <c r="D69" s="380">
        <v>2023032700012</v>
      </c>
      <c r="E69" s="379" t="s">
        <v>454</v>
      </c>
      <c r="F69" s="383" t="s">
        <v>572</v>
      </c>
      <c r="G69" s="383" t="s">
        <v>574</v>
      </c>
      <c r="H69" s="578">
        <v>45007</v>
      </c>
      <c r="I69" s="133" t="s">
        <v>598</v>
      </c>
      <c r="J69" s="39" t="s">
        <v>595</v>
      </c>
      <c r="K69" s="21" t="s">
        <v>596</v>
      </c>
      <c r="L69" s="134">
        <f>9410*K69</f>
        <v>9410</v>
      </c>
    </row>
    <row r="70" spans="1:12" s="53" customFormat="1" ht="49.95" customHeight="1" x14ac:dyDescent="0.25">
      <c r="A70" s="654"/>
      <c r="B70" s="647"/>
      <c r="C70" s="382"/>
      <c r="D70" s="380"/>
      <c r="E70" s="379"/>
      <c r="F70" s="383"/>
      <c r="G70" s="383"/>
      <c r="H70" s="578"/>
      <c r="I70" s="133" t="s">
        <v>599</v>
      </c>
      <c r="J70" s="39" t="s">
        <v>597</v>
      </c>
      <c r="K70" s="21" t="s">
        <v>596</v>
      </c>
      <c r="L70" s="134">
        <f>747*K70</f>
        <v>747</v>
      </c>
    </row>
    <row r="71" spans="1:12" s="53" customFormat="1" ht="49.95" customHeight="1" x14ac:dyDescent="0.25">
      <c r="A71" s="654"/>
      <c r="B71" s="647">
        <v>4</v>
      </c>
      <c r="C71" s="382">
        <v>45012</v>
      </c>
      <c r="D71" s="380">
        <v>2023032700005</v>
      </c>
      <c r="E71" s="379" t="s">
        <v>454</v>
      </c>
      <c r="F71" s="383" t="s">
        <v>575</v>
      </c>
      <c r="G71" s="383" t="s">
        <v>573</v>
      </c>
      <c r="H71" s="578">
        <v>45015</v>
      </c>
      <c r="I71" s="133" t="s">
        <v>617</v>
      </c>
      <c r="J71" s="179" t="s">
        <v>618</v>
      </c>
      <c r="K71" s="21">
        <v>130</v>
      </c>
      <c r="L71" s="134">
        <f>47*130</f>
        <v>6110</v>
      </c>
    </row>
    <row r="72" spans="1:12" s="53" customFormat="1" ht="49.95" customHeight="1" x14ac:dyDescent="0.25">
      <c r="A72" s="654"/>
      <c r="B72" s="647"/>
      <c r="C72" s="382"/>
      <c r="D72" s="380"/>
      <c r="E72" s="379"/>
      <c r="F72" s="383"/>
      <c r="G72" s="383"/>
      <c r="H72" s="578"/>
      <c r="I72" s="133" t="s">
        <v>619</v>
      </c>
      <c r="J72" s="179" t="s">
        <v>618</v>
      </c>
      <c r="K72" s="22">
        <v>20</v>
      </c>
      <c r="L72" s="134">
        <f>51*20</f>
        <v>1020</v>
      </c>
    </row>
    <row r="73" spans="1:12" s="53" customFormat="1" ht="49.95" customHeight="1" x14ac:dyDescent="0.25">
      <c r="A73" s="654"/>
      <c r="B73" s="647">
        <v>5</v>
      </c>
      <c r="C73" s="382">
        <v>45012</v>
      </c>
      <c r="D73" s="380">
        <v>2023032700013</v>
      </c>
      <c r="E73" s="379" t="s">
        <v>454</v>
      </c>
      <c r="F73" s="383" t="s">
        <v>576</v>
      </c>
      <c r="G73" s="383" t="s">
        <v>573</v>
      </c>
      <c r="H73" s="578">
        <v>45015</v>
      </c>
      <c r="I73" s="133" t="s">
        <v>617</v>
      </c>
      <c r="J73" s="179" t="s">
        <v>618</v>
      </c>
      <c r="K73" s="21">
        <v>130</v>
      </c>
      <c r="L73" s="134">
        <f>47*130</f>
        <v>6110</v>
      </c>
    </row>
    <row r="74" spans="1:12" s="53" customFormat="1" ht="49.95" customHeight="1" x14ac:dyDescent="0.25">
      <c r="A74" s="654"/>
      <c r="B74" s="647"/>
      <c r="C74" s="382"/>
      <c r="D74" s="380"/>
      <c r="E74" s="379"/>
      <c r="F74" s="383"/>
      <c r="G74" s="383"/>
      <c r="H74" s="578"/>
      <c r="I74" s="133" t="s">
        <v>619</v>
      </c>
      <c r="J74" s="179" t="s">
        <v>618</v>
      </c>
      <c r="K74" s="22">
        <v>15</v>
      </c>
      <c r="L74" s="134">
        <f>51*15</f>
        <v>765</v>
      </c>
    </row>
    <row r="75" spans="1:12" s="53" customFormat="1" ht="49.95" customHeight="1" x14ac:dyDescent="0.25">
      <c r="A75" s="654">
        <v>10</v>
      </c>
      <c r="B75" s="647">
        <v>6</v>
      </c>
      <c r="C75" s="382">
        <v>45001</v>
      </c>
      <c r="D75" s="380">
        <v>2023031700006</v>
      </c>
      <c r="E75" s="379" t="s">
        <v>454</v>
      </c>
      <c r="F75" s="383" t="s">
        <v>576</v>
      </c>
      <c r="G75" s="383" t="s">
        <v>577</v>
      </c>
      <c r="H75" s="578">
        <v>45002</v>
      </c>
      <c r="I75" s="133" t="s">
        <v>598</v>
      </c>
      <c r="J75" s="39" t="s">
        <v>595</v>
      </c>
      <c r="K75" s="21" t="s">
        <v>596</v>
      </c>
      <c r="L75" s="134">
        <f>9410*K75</f>
        <v>9410</v>
      </c>
    </row>
    <row r="76" spans="1:12" s="53" customFormat="1" ht="49.95" customHeight="1" x14ac:dyDescent="0.25">
      <c r="A76" s="654"/>
      <c r="B76" s="647"/>
      <c r="C76" s="382"/>
      <c r="D76" s="380"/>
      <c r="E76" s="379"/>
      <c r="F76" s="383"/>
      <c r="G76" s="383"/>
      <c r="H76" s="578"/>
      <c r="I76" s="133" t="s">
        <v>599</v>
      </c>
      <c r="J76" s="39" t="s">
        <v>597</v>
      </c>
      <c r="K76" s="21" t="s">
        <v>596</v>
      </c>
      <c r="L76" s="134">
        <f>747*K76</f>
        <v>747</v>
      </c>
    </row>
    <row r="77" spans="1:12" s="53" customFormat="1" ht="49.95" customHeight="1" x14ac:dyDescent="0.25">
      <c r="A77" s="654"/>
      <c r="B77" s="647">
        <v>7</v>
      </c>
      <c r="C77" s="382">
        <v>45012</v>
      </c>
      <c r="D77" s="380">
        <v>2023032700014</v>
      </c>
      <c r="E77" s="379" t="s">
        <v>538</v>
      </c>
      <c r="F77" s="383" t="s">
        <v>578</v>
      </c>
      <c r="G77" s="383" t="s">
        <v>571</v>
      </c>
      <c r="H77" s="578">
        <v>45015</v>
      </c>
      <c r="I77" s="133" t="s">
        <v>617</v>
      </c>
      <c r="J77" s="179" t="s">
        <v>618</v>
      </c>
      <c r="K77" s="21">
        <v>120</v>
      </c>
      <c r="L77" s="134">
        <f>47*120</f>
        <v>5640</v>
      </c>
    </row>
    <row r="78" spans="1:12" s="53" customFormat="1" ht="49.95" customHeight="1" x14ac:dyDescent="0.25">
      <c r="A78" s="654"/>
      <c r="B78" s="647"/>
      <c r="C78" s="382"/>
      <c r="D78" s="380"/>
      <c r="E78" s="379"/>
      <c r="F78" s="383"/>
      <c r="G78" s="383"/>
      <c r="H78" s="578"/>
      <c r="I78" s="133" t="s">
        <v>619</v>
      </c>
      <c r="J78" s="179" t="s">
        <v>618</v>
      </c>
      <c r="K78" s="22">
        <v>20</v>
      </c>
      <c r="L78" s="134">
        <f>51*20</f>
        <v>1020</v>
      </c>
    </row>
    <row r="79" spans="1:12" s="53" customFormat="1" ht="49.95" customHeight="1" x14ac:dyDescent="0.25">
      <c r="A79" s="654"/>
      <c r="B79" s="647"/>
      <c r="C79" s="382"/>
      <c r="D79" s="380"/>
      <c r="E79" s="379"/>
      <c r="F79" s="383"/>
      <c r="G79" s="383"/>
      <c r="H79" s="578"/>
      <c r="I79" s="133" t="s">
        <v>620</v>
      </c>
      <c r="J79" s="179" t="s">
        <v>621</v>
      </c>
      <c r="K79" s="21">
        <v>1</v>
      </c>
      <c r="L79" s="134">
        <f>471*1</f>
        <v>471</v>
      </c>
    </row>
    <row r="80" spans="1:12" s="53" customFormat="1" ht="55.05" customHeight="1" x14ac:dyDescent="0.25">
      <c r="A80" s="654"/>
      <c r="B80" s="647">
        <v>8</v>
      </c>
      <c r="C80" s="382">
        <v>45012</v>
      </c>
      <c r="D80" s="380">
        <v>2023032700015</v>
      </c>
      <c r="E80" s="379" t="s">
        <v>538</v>
      </c>
      <c r="F80" s="383" t="s">
        <v>579</v>
      </c>
      <c r="G80" s="383" t="s">
        <v>580</v>
      </c>
      <c r="H80" s="578">
        <v>45015</v>
      </c>
      <c r="I80" s="133" t="s">
        <v>617</v>
      </c>
      <c r="J80" s="179" t="s">
        <v>618</v>
      </c>
      <c r="K80" s="22">
        <v>150</v>
      </c>
      <c r="L80" s="134">
        <f>47*150</f>
        <v>7050</v>
      </c>
    </row>
    <row r="81" spans="1:12" s="53" customFormat="1" ht="55.05" customHeight="1" x14ac:dyDescent="0.25">
      <c r="A81" s="654"/>
      <c r="B81" s="647"/>
      <c r="C81" s="382"/>
      <c r="D81" s="380"/>
      <c r="E81" s="379"/>
      <c r="F81" s="383"/>
      <c r="G81" s="383"/>
      <c r="H81" s="578"/>
      <c r="I81" s="133" t="s">
        <v>619</v>
      </c>
      <c r="J81" s="179" t="s">
        <v>618</v>
      </c>
      <c r="K81" s="22">
        <v>15</v>
      </c>
      <c r="L81" s="134">
        <f>51*15</f>
        <v>765</v>
      </c>
    </row>
    <row r="82" spans="1:12" s="53" customFormat="1" ht="100.05" customHeight="1" x14ac:dyDescent="0.25">
      <c r="A82" s="654"/>
      <c r="B82" s="240">
        <v>9</v>
      </c>
      <c r="C82" s="113">
        <v>45001</v>
      </c>
      <c r="D82" s="151">
        <v>2023031700004</v>
      </c>
      <c r="E82" s="150" t="s">
        <v>538</v>
      </c>
      <c r="F82" s="81" t="s">
        <v>579</v>
      </c>
      <c r="G82" s="167" t="s">
        <v>581</v>
      </c>
      <c r="H82" s="131">
        <v>45002</v>
      </c>
      <c r="I82" s="133" t="s">
        <v>633</v>
      </c>
      <c r="J82" s="39" t="s">
        <v>634</v>
      </c>
      <c r="K82" s="21">
        <v>1</v>
      </c>
      <c r="L82" s="134">
        <f>850*1</f>
        <v>850</v>
      </c>
    </row>
    <row r="83" spans="1:12" s="53" customFormat="1" ht="49.95" customHeight="1" x14ac:dyDescent="0.25">
      <c r="A83" s="654"/>
      <c r="B83" s="647">
        <v>10</v>
      </c>
      <c r="C83" s="382">
        <v>45012</v>
      </c>
      <c r="D83" s="380">
        <v>2023032700016</v>
      </c>
      <c r="E83" s="379" t="s">
        <v>538</v>
      </c>
      <c r="F83" s="383" t="s">
        <v>582</v>
      </c>
      <c r="G83" s="383" t="s">
        <v>583</v>
      </c>
      <c r="H83" s="578">
        <v>45015</v>
      </c>
      <c r="I83" s="133" t="s">
        <v>617</v>
      </c>
      <c r="J83" s="179" t="s">
        <v>618</v>
      </c>
      <c r="K83" s="22">
        <v>150</v>
      </c>
      <c r="L83" s="134">
        <f>47*150</f>
        <v>7050</v>
      </c>
    </row>
    <row r="84" spans="1:12" s="53" customFormat="1" ht="49.95" customHeight="1" x14ac:dyDescent="0.25">
      <c r="A84" s="654"/>
      <c r="B84" s="647"/>
      <c r="C84" s="382"/>
      <c r="D84" s="380"/>
      <c r="E84" s="379"/>
      <c r="F84" s="383"/>
      <c r="G84" s="383"/>
      <c r="H84" s="578"/>
      <c r="I84" s="133" t="s">
        <v>619</v>
      </c>
      <c r="J84" s="179" t="s">
        <v>618</v>
      </c>
      <c r="K84" s="22">
        <v>5</v>
      </c>
      <c r="L84" s="134">
        <f>51*5</f>
        <v>255</v>
      </c>
    </row>
    <row r="85" spans="1:12" s="53" customFormat="1" ht="49.95" customHeight="1" x14ac:dyDescent="0.25">
      <c r="A85" s="654"/>
      <c r="B85" s="647"/>
      <c r="C85" s="382"/>
      <c r="D85" s="380"/>
      <c r="E85" s="379"/>
      <c r="F85" s="383"/>
      <c r="G85" s="383"/>
      <c r="H85" s="578"/>
      <c r="I85" s="133" t="s">
        <v>635</v>
      </c>
      <c r="J85" s="39" t="s">
        <v>634</v>
      </c>
      <c r="K85" s="21">
        <v>1</v>
      </c>
      <c r="L85" s="134">
        <f>106*1</f>
        <v>106</v>
      </c>
    </row>
    <row r="86" spans="1:12" s="53" customFormat="1" ht="49.95" customHeight="1" x14ac:dyDescent="0.25">
      <c r="A86" s="654"/>
      <c r="B86" s="647">
        <v>11</v>
      </c>
      <c r="C86" s="382">
        <v>45013</v>
      </c>
      <c r="D86" s="380">
        <v>2023032900001</v>
      </c>
      <c r="E86" s="379" t="s">
        <v>454</v>
      </c>
      <c r="F86" s="383" t="s">
        <v>582</v>
      </c>
      <c r="G86" s="383" t="s">
        <v>584</v>
      </c>
      <c r="H86" s="578">
        <v>45014</v>
      </c>
      <c r="I86" s="133" t="s">
        <v>598</v>
      </c>
      <c r="J86" s="39" t="s">
        <v>595</v>
      </c>
      <c r="K86" s="21" t="s">
        <v>596</v>
      </c>
      <c r="L86" s="134">
        <f>9410*K86</f>
        <v>9410</v>
      </c>
    </row>
    <row r="87" spans="1:12" s="53" customFormat="1" ht="49.95" customHeight="1" x14ac:dyDescent="0.25">
      <c r="A87" s="654"/>
      <c r="B87" s="647"/>
      <c r="C87" s="382"/>
      <c r="D87" s="380"/>
      <c r="E87" s="379"/>
      <c r="F87" s="383"/>
      <c r="G87" s="383"/>
      <c r="H87" s="578"/>
      <c r="I87" s="133" t="s">
        <v>599</v>
      </c>
      <c r="J87" s="39" t="s">
        <v>597</v>
      </c>
      <c r="K87" s="21" t="s">
        <v>596</v>
      </c>
      <c r="L87" s="134">
        <f>747*K87</f>
        <v>747</v>
      </c>
    </row>
    <row r="88" spans="1:12" s="53" customFormat="1" ht="49.95" customHeight="1" x14ac:dyDescent="0.25">
      <c r="A88" s="654"/>
      <c r="B88" s="647">
        <v>12</v>
      </c>
      <c r="C88" s="382">
        <v>45012</v>
      </c>
      <c r="D88" s="380">
        <v>2023032700017</v>
      </c>
      <c r="E88" s="379" t="s">
        <v>454</v>
      </c>
      <c r="F88" s="383" t="s">
        <v>585</v>
      </c>
      <c r="G88" s="383" t="s">
        <v>586</v>
      </c>
      <c r="H88" s="578">
        <v>45015</v>
      </c>
      <c r="I88" s="133" t="s">
        <v>617</v>
      </c>
      <c r="J88" s="179" t="s">
        <v>618</v>
      </c>
      <c r="K88" s="22">
        <v>145</v>
      </c>
      <c r="L88" s="134">
        <f>47*145</f>
        <v>6815</v>
      </c>
    </row>
    <row r="89" spans="1:12" s="53" customFormat="1" ht="49.95" customHeight="1" x14ac:dyDescent="0.25">
      <c r="A89" s="654"/>
      <c r="B89" s="647"/>
      <c r="C89" s="382"/>
      <c r="D89" s="380"/>
      <c r="E89" s="379"/>
      <c r="F89" s="383"/>
      <c r="G89" s="383"/>
      <c r="H89" s="578"/>
      <c r="I89" s="133" t="s">
        <v>619</v>
      </c>
      <c r="J89" s="179" t="s">
        <v>618</v>
      </c>
      <c r="K89" s="22">
        <v>10</v>
      </c>
      <c r="L89" s="134">
        <f>51*10</f>
        <v>510</v>
      </c>
    </row>
    <row r="90" spans="1:12" s="53" customFormat="1" ht="49.95" customHeight="1" x14ac:dyDescent="0.25">
      <c r="A90" s="654"/>
      <c r="B90" s="647">
        <v>13</v>
      </c>
      <c r="C90" s="382">
        <v>45013</v>
      </c>
      <c r="D90" s="380">
        <v>2023032900002</v>
      </c>
      <c r="E90" s="379" t="s">
        <v>454</v>
      </c>
      <c r="F90" s="383" t="s">
        <v>585</v>
      </c>
      <c r="G90" s="383" t="s">
        <v>587</v>
      </c>
      <c r="H90" s="578">
        <v>45014</v>
      </c>
      <c r="I90" s="133" t="s">
        <v>598</v>
      </c>
      <c r="J90" s="39" t="s">
        <v>595</v>
      </c>
      <c r="K90" s="21" t="s">
        <v>596</v>
      </c>
      <c r="L90" s="134">
        <f>9410*K90</f>
        <v>9410</v>
      </c>
    </row>
    <row r="91" spans="1:12" s="53" customFormat="1" ht="49.95" customHeight="1" thickBot="1" x14ac:dyDescent="0.3">
      <c r="A91" s="655"/>
      <c r="B91" s="505"/>
      <c r="C91" s="412"/>
      <c r="D91" s="414"/>
      <c r="E91" s="463"/>
      <c r="F91" s="491"/>
      <c r="G91" s="491"/>
      <c r="H91" s="576"/>
      <c r="I91" s="175" t="s">
        <v>599</v>
      </c>
      <c r="J91" s="178" t="s">
        <v>597</v>
      </c>
      <c r="K91" s="207" t="s">
        <v>596</v>
      </c>
      <c r="L91" s="177">
        <f>747*K91</f>
        <v>747</v>
      </c>
    </row>
    <row r="92" spans="1:12" s="53" customFormat="1" ht="30" customHeight="1" thickTop="1" x14ac:dyDescent="0.25">
      <c r="A92" s="653">
        <v>10</v>
      </c>
      <c r="B92" s="630" t="s">
        <v>652</v>
      </c>
      <c r="C92" s="631"/>
      <c r="D92" s="631"/>
      <c r="E92" s="631"/>
      <c r="F92" s="631"/>
      <c r="G92" s="631"/>
      <c r="H92" s="632"/>
      <c r="I92" s="208" t="s">
        <v>642</v>
      </c>
      <c r="J92" s="209" t="s">
        <v>643</v>
      </c>
      <c r="K92" s="209">
        <f>K64+K67+K71+K73+K77+K80+K83+K88</f>
        <v>1100</v>
      </c>
      <c r="L92" s="210"/>
    </row>
    <row r="93" spans="1:12" s="53" customFormat="1" ht="30" customHeight="1" x14ac:dyDescent="0.25">
      <c r="A93" s="654"/>
      <c r="B93" s="633"/>
      <c r="C93" s="634"/>
      <c r="D93" s="634"/>
      <c r="E93" s="634"/>
      <c r="F93" s="634"/>
      <c r="G93" s="634"/>
      <c r="H93" s="635"/>
      <c r="I93" s="201" t="s">
        <v>644</v>
      </c>
      <c r="J93" s="202" t="s">
        <v>643</v>
      </c>
      <c r="K93" s="202">
        <f>K65+K68+K72+K74+K78+K81+K84+K89</f>
        <v>100</v>
      </c>
      <c r="L93" s="224"/>
    </row>
    <row r="94" spans="1:12" s="53" customFormat="1" ht="30" customHeight="1" x14ac:dyDescent="0.25">
      <c r="A94" s="654"/>
      <c r="B94" s="633"/>
      <c r="C94" s="634"/>
      <c r="D94" s="634"/>
      <c r="E94" s="634"/>
      <c r="F94" s="634"/>
      <c r="G94" s="634"/>
      <c r="H94" s="635"/>
      <c r="I94" s="201" t="s">
        <v>633</v>
      </c>
      <c r="J94" s="202" t="s">
        <v>645</v>
      </c>
      <c r="K94" s="202">
        <f>K82</f>
        <v>1</v>
      </c>
      <c r="L94" s="224"/>
    </row>
    <row r="95" spans="1:12" s="53" customFormat="1" ht="30" customHeight="1" x14ac:dyDescent="0.25">
      <c r="A95" s="654"/>
      <c r="B95" s="633"/>
      <c r="C95" s="634"/>
      <c r="D95" s="634"/>
      <c r="E95" s="634"/>
      <c r="F95" s="634"/>
      <c r="G95" s="634"/>
      <c r="H95" s="635"/>
      <c r="I95" s="201" t="s">
        <v>646</v>
      </c>
      <c r="J95" s="202" t="s">
        <v>647</v>
      </c>
      <c r="K95" s="202">
        <f>K69+K75+K86+K90</f>
        <v>4</v>
      </c>
      <c r="L95" s="224"/>
    </row>
    <row r="96" spans="1:12" s="53" customFormat="1" ht="30" customHeight="1" x14ac:dyDescent="0.25">
      <c r="A96" s="654"/>
      <c r="B96" s="633"/>
      <c r="C96" s="634"/>
      <c r="D96" s="634"/>
      <c r="E96" s="634"/>
      <c r="F96" s="634"/>
      <c r="G96" s="634"/>
      <c r="H96" s="635"/>
      <c r="I96" s="201" t="s">
        <v>648</v>
      </c>
      <c r="J96" s="202" t="s">
        <v>649</v>
      </c>
      <c r="K96" s="202">
        <f>K70+K76+K87+K91</f>
        <v>4</v>
      </c>
      <c r="L96" s="224"/>
    </row>
    <row r="97" spans="1:12" s="53" customFormat="1" ht="30" customHeight="1" x14ac:dyDescent="0.25">
      <c r="A97" s="654"/>
      <c r="B97" s="633"/>
      <c r="C97" s="634"/>
      <c r="D97" s="634"/>
      <c r="E97" s="634"/>
      <c r="F97" s="634"/>
      <c r="G97" s="634"/>
      <c r="H97" s="635"/>
      <c r="I97" s="201" t="s">
        <v>650</v>
      </c>
      <c r="J97" s="202" t="s">
        <v>645</v>
      </c>
      <c r="K97" s="202">
        <f>K66+K79</f>
        <v>2</v>
      </c>
      <c r="L97" s="224"/>
    </row>
    <row r="98" spans="1:12" s="53" customFormat="1" ht="30" customHeight="1" thickBot="1" x14ac:dyDescent="0.3">
      <c r="A98" s="655"/>
      <c r="B98" s="636"/>
      <c r="C98" s="637"/>
      <c r="D98" s="637"/>
      <c r="E98" s="637"/>
      <c r="F98" s="637"/>
      <c r="G98" s="637"/>
      <c r="H98" s="638"/>
      <c r="I98" s="188" t="s">
        <v>635</v>
      </c>
      <c r="J98" s="189" t="s">
        <v>645</v>
      </c>
      <c r="K98" s="189">
        <f>K85</f>
        <v>1</v>
      </c>
      <c r="L98" s="223"/>
    </row>
    <row r="99" spans="1:12" s="53" customFormat="1" ht="49.95" customHeight="1" x14ac:dyDescent="0.25">
      <c r="A99" s="653">
        <v>11</v>
      </c>
      <c r="B99" s="659">
        <v>1</v>
      </c>
      <c r="C99" s="657">
        <v>45002</v>
      </c>
      <c r="D99" s="415">
        <v>2023032000001</v>
      </c>
      <c r="E99" s="464" t="s">
        <v>588</v>
      </c>
      <c r="F99" s="493" t="s">
        <v>589</v>
      </c>
      <c r="G99" s="493" t="s">
        <v>590</v>
      </c>
      <c r="H99" s="575">
        <v>45010</v>
      </c>
      <c r="I99" s="180" t="s">
        <v>617</v>
      </c>
      <c r="J99" s="221" t="s">
        <v>618</v>
      </c>
      <c r="K99" s="187">
        <v>70</v>
      </c>
      <c r="L99" s="204">
        <f>47*70</f>
        <v>3290</v>
      </c>
    </row>
    <row r="100" spans="1:12" s="53" customFormat="1" ht="49.95" customHeight="1" x14ac:dyDescent="0.25">
      <c r="A100" s="654"/>
      <c r="B100" s="406"/>
      <c r="C100" s="658"/>
      <c r="D100" s="380"/>
      <c r="E100" s="379"/>
      <c r="F100" s="383"/>
      <c r="G100" s="383"/>
      <c r="H100" s="578"/>
      <c r="I100" s="133" t="s">
        <v>619</v>
      </c>
      <c r="J100" s="179" t="s">
        <v>618</v>
      </c>
      <c r="K100" s="22">
        <v>5</v>
      </c>
      <c r="L100" s="134">
        <f>51*5</f>
        <v>255</v>
      </c>
    </row>
    <row r="101" spans="1:12" s="53" customFormat="1" ht="49.95" customHeight="1" x14ac:dyDescent="0.25">
      <c r="A101" s="654"/>
      <c r="B101" s="406"/>
      <c r="C101" s="658"/>
      <c r="D101" s="380"/>
      <c r="E101" s="379"/>
      <c r="F101" s="383"/>
      <c r="G101" s="383"/>
      <c r="H101" s="578"/>
      <c r="I101" s="133" t="s">
        <v>623</v>
      </c>
      <c r="J101" s="179" t="s">
        <v>618</v>
      </c>
      <c r="K101" s="22">
        <v>3</v>
      </c>
      <c r="L101" s="134">
        <f>471*3</f>
        <v>1413</v>
      </c>
    </row>
    <row r="102" spans="1:12" s="53" customFormat="1" ht="49.95" customHeight="1" x14ac:dyDescent="0.25">
      <c r="A102" s="654"/>
      <c r="B102" s="406"/>
      <c r="C102" s="658"/>
      <c r="D102" s="380"/>
      <c r="E102" s="379"/>
      <c r="F102" s="383"/>
      <c r="G102" s="383"/>
      <c r="H102" s="578"/>
      <c r="I102" s="133" t="s">
        <v>624</v>
      </c>
      <c r="J102" s="174" t="s">
        <v>625</v>
      </c>
      <c r="K102" s="184" t="s">
        <v>626</v>
      </c>
      <c r="L102" s="134">
        <f>1098*1</f>
        <v>1098</v>
      </c>
    </row>
    <row r="103" spans="1:12" s="53" customFormat="1" ht="49.95" customHeight="1" x14ac:dyDescent="0.25">
      <c r="A103" s="654"/>
      <c r="B103" s="406"/>
      <c r="C103" s="658"/>
      <c r="D103" s="380"/>
      <c r="E103" s="379"/>
      <c r="F103" s="383"/>
      <c r="G103" s="383"/>
      <c r="H103" s="578"/>
      <c r="I103" s="133" t="s">
        <v>628</v>
      </c>
      <c r="J103" s="174" t="s">
        <v>625</v>
      </c>
      <c r="K103" s="184" t="s">
        <v>626</v>
      </c>
      <c r="L103" s="134">
        <f>314*1</f>
        <v>314</v>
      </c>
    </row>
    <row r="104" spans="1:12" s="53" customFormat="1" ht="49.95" customHeight="1" x14ac:dyDescent="0.25">
      <c r="A104" s="654"/>
      <c r="B104" s="406"/>
      <c r="C104" s="658"/>
      <c r="D104" s="380"/>
      <c r="E104" s="379"/>
      <c r="F104" s="383"/>
      <c r="G104" s="383"/>
      <c r="H104" s="578"/>
      <c r="I104" s="133" t="s">
        <v>629</v>
      </c>
      <c r="J104" s="174" t="s">
        <v>621</v>
      </c>
      <c r="K104" s="227">
        <v>3</v>
      </c>
      <c r="L104" s="134">
        <f>106*3</f>
        <v>318</v>
      </c>
    </row>
    <row r="105" spans="1:12" s="53" customFormat="1" ht="49.95" customHeight="1" thickBot="1" x14ac:dyDescent="0.3">
      <c r="A105" s="655"/>
      <c r="B105" s="660"/>
      <c r="C105" s="609"/>
      <c r="D105" s="448"/>
      <c r="E105" s="450"/>
      <c r="F105" s="433"/>
      <c r="G105" s="433"/>
      <c r="H105" s="583"/>
      <c r="I105" s="143" t="s">
        <v>630</v>
      </c>
      <c r="J105" s="173" t="s">
        <v>627</v>
      </c>
      <c r="K105" s="182" t="s">
        <v>622</v>
      </c>
      <c r="L105" s="144">
        <f>141*15</f>
        <v>2115</v>
      </c>
    </row>
    <row r="106" spans="1:12" s="53" customFormat="1" ht="15" x14ac:dyDescent="0.25">
      <c r="A106" s="2"/>
      <c r="B106" s="2"/>
      <c r="C106" s="2"/>
      <c r="D106" s="2"/>
      <c r="E106" s="2"/>
      <c r="F106" s="2"/>
      <c r="G106" s="54"/>
      <c r="H106" s="3"/>
      <c r="J106" s="1"/>
      <c r="K106" s="1"/>
      <c r="L106" s="12"/>
    </row>
    <row r="107" spans="1:12" s="53" customFormat="1" ht="15.75" customHeight="1" x14ac:dyDescent="0.25">
      <c r="A107" s="2"/>
      <c r="B107" s="2"/>
      <c r="C107" s="2"/>
      <c r="D107" s="2"/>
      <c r="E107" s="2"/>
      <c r="F107" s="2"/>
      <c r="G107" s="54"/>
      <c r="H107" s="3"/>
      <c r="J107" s="1"/>
      <c r="K107" s="1"/>
      <c r="L107" s="12"/>
    </row>
    <row r="108" spans="1:12" s="53" customFormat="1" ht="15.75" customHeight="1" x14ac:dyDescent="0.25">
      <c r="A108" s="2"/>
      <c r="B108" s="2"/>
      <c r="C108" s="2"/>
      <c r="D108" s="2"/>
      <c r="E108" s="2"/>
      <c r="F108" s="2"/>
      <c r="G108" s="54"/>
      <c r="H108" s="3"/>
      <c r="J108" s="1"/>
      <c r="K108" s="1"/>
      <c r="L108" s="12"/>
    </row>
    <row r="109" spans="1:12" ht="15.75" customHeight="1" x14ac:dyDescent="0.25">
      <c r="A109" s="2"/>
      <c r="B109" s="2"/>
      <c r="C109" s="2"/>
      <c r="D109" s="2"/>
      <c r="E109" s="2"/>
      <c r="F109" s="2"/>
      <c r="G109" s="54"/>
      <c r="H109" s="3"/>
    </row>
  </sheetData>
  <autoFilter ref="A3:L105" xr:uid="{00000000-0009-0000-0000-000014000000}"/>
  <mergeCells count="266">
    <mergeCell ref="B88:B89"/>
    <mergeCell ref="B90:B91"/>
    <mergeCell ref="B92:H98"/>
    <mergeCell ref="B99:B105"/>
    <mergeCell ref="B71:B72"/>
    <mergeCell ref="B73:B74"/>
    <mergeCell ref="B75:B76"/>
    <mergeCell ref="B77:B79"/>
    <mergeCell ref="B80:B81"/>
    <mergeCell ref="B83:B85"/>
    <mergeCell ref="B86:B87"/>
    <mergeCell ref="G73:G74"/>
    <mergeCell ref="H73:H74"/>
    <mergeCell ref="E77:E79"/>
    <mergeCell ref="F77:F79"/>
    <mergeCell ref="G77:G79"/>
    <mergeCell ref="H77:H79"/>
    <mergeCell ref="E71:E72"/>
    <mergeCell ref="F71:F72"/>
    <mergeCell ref="G71:G72"/>
    <mergeCell ref="H71:H72"/>
    <mergeCell ref="F75:F76"/>
    <mergeCell ref="G75:G76"/>
    <mergeCell ref="H75:H76"/>
    <mergeCell ref="B9:B10"/>
    <mergeCell ref="B11:B12"/>
    <mergeCell ref="B13:B14"/>
    <mergeCell ref="B15:B16"/>
    <mergeCell ref="B17:B18"/>
    <mergeCell ref="B19:B20"/>
    <mergeCell ref="B21:B22"/>
    <mergeCell ref="B23:B24"/>
    <mergeCell ref="B25:H26"/>
    <mergeCell ref="C19:C20"/>
    <mergeCell ref="D19:D20"/>
    <mergeCell ref="E19:E20"/>
    <mergeCell ref="F19:F20"/>
    <mergeCell ref="G19:G20"/>
    <mergeCell ref="H19:H20"/>
    <mergeCell ref="G17:G18"/>
    <mergeCell ref="H17:H18"/>
    <mergeCell ref="H15:H16"/>
    <mergeCell ref="H13:H14"/>
    <mergeCell ref="H11:H12"/>
    <mergeCell ref="C23:C24"/>
    <mergeCell ref="D23:D24"/>
    <mergeCell ref="C17:C18"/>
    <mergeCell ref="D17:D18"/>
    <mergeCell ref="B5:B6"/>
    <mergeCell ref="B7:B8"/>
    <mergeCell ref="A1:L1"/>
    <mergeCell ref="A2:F2"/>
    <mergeCell ref="G2:L2"/>
    <mergeCell ref="C5:C6"/>
    <mergeCell ref="D5:D6"/>
    <mergeCell ref="E5:E6"/>
    <mergeCell ref="F5:F6"/>
    <mergeCell ref="G5:G6"/>
    <mergeCell ref="H5:H6"/>
    <mergeCell ref="A5:A20"/>
    <mergeCell ref="C9:C10"/>
    <mergeCell ref="D9:D10"/>
    <mergeCell ref="E9:E10"/>
    <mergeCell ref="F9:F10"/>
    <mergeCell ref="G9:G10"/>
    <mergeCell ref="H9:H10"/>
    <mergeCell ref="C13:C14"/>
    <mergeCell ref="D13:D14"/>
    <mergeCell ref="E13:E14"/>
    <mergeCell ref="F13:F14"/>
    <mergeCell ref="G13:G14"/>
    <mergeCell ref="H7:H8"/>
    <mergeCell ref="C7:C8"/>
    <mergeCell ref="D7:D8"/>
    <mergeCell ref="E7:E8"/>
    <mergeCell ref="F7:F8"/>
    <mergeCell ref="G7:G8"/>
    <mergeCell ref="C15:C16"/>
    <mergeCell ref="D15:D16"/>
    <mergeCell ref="E15:E16"/>
    <mergeCell ref="F15:F16"/>
    <mergeCell ref="G15:G16"/>
    <mergeCell ref="G11:G12"/>
    <mergeCell ref="C11:C12"/>
    <mergeCell ref="D11:D12"/>
    <mergeCell ref="E11:E12"/>
    <mergeCell ref="F11:F12"/>
    <mergeCell ref="B69:B70"/>
    <mergeCell ref="C64:C66"/>
    <mergeCell ref="F52:F53"/>
    <mergeCell ref="G52:G53"/>
    <mergeCell ref="H52:H53"/>
    <mergeCell ref="F50:F51"/>
    <mergeCell ref="G50:G51"/>
    <mergeCell ref="H50:H51"/>
    <mergeCell ref="C56:C57"/>
    <mergeCell ref="C60:C61"/>
    <mergeCell ref="D60:D61"/>
    <mergeCell ref="E60:E61"/>
    <mergeCell ref="C67:C68"/>
    <mergeCell ref="D67:D68"/>
    <mergeCell ref="E67:E68"/>
    <mergeCell ref="F67:F68"/>
    <mergeCell ref="G67:G68"/>
    <mergeCell ref="H67:H68"/>
    <mergeCell ref="B64:B66"/>
    <mergeCell ref="B67:B68"/>
    <mergeCell ref="D64:D66"/>
    <mergeCell ref="E64:E66"/>
    <mergeCell ref="F64:F66"/>
    <mergeCell ref="G64:G66"/>
    <mergeCell ref="E23:E24"/>
    <mergeCell ref="H21:H22"/>
    <mergeCell ref="F23:F24"/>
    <mergeCell ref="E17:E18"/>
    <mergeCell ref="F17:F18"/>
    <mergeCell ref="G23:G24"/>
    <mergeCell ref="H23:H24"/>
    <mergeCell ref="C21:C22"/>
    <mergeCell ref="D21:D22"/>
    <mergeCell ref="G21:G22"/>
    <mergeCell ref="E21:E22"/>
    <mergeCell ref="F21:F22"/>
    <mergeCell ref="A48:A49"/>
    <mergeCell ref="C48:C49"/>
    <mergeCell ref="D48:D49"/>
    <mergeCell ref="E48:E49"/>
    <mergeCell ref="B48:B49"/>
    <mergeCell ref="E27:E28"/>
    <mergeCell ref="F27:F28"/>
    <mergeCell ref="E31:E32"/>
    <mergeCell ref="F31:F32"/>
    <mergeCell ref="F48:F49"/>
    <mergeCell ref="A46:A47"/>
    <mergeCell ref="C46:C47"/>
    <mergeCell ref="D46:D47"/>
    <mergeCell ref="E46:E47"/>
    <mergeCell ref="F46:F47"/>
    <mergeCell ref="A27:A41"/>
    <mergeCell ref="A42:A44"/>
    <mergeCell ref="E33:E35"/>
    <mergeCell ref="F33:F35"/>
    <mergeCell ref="C31:C32"/>
    <mergeCell ref="D31:D32"/>
    <mergeCell ref="C29:C30"/>
    <mergeCell ref="D29:D30"/>
    <mergeCell ref="E29:E30"/>
    <mergeCell ref="G48:G49"/>
    <mergeCell ref="H48:H49"/>
    <mergeCell ref="D27:D28"/>
    <mergeCell ref="B27:B28"/>
    <mergeCell ref="B29:B30"/>
    <mergeCell ref="B31:B32"/>
    <mergeCell ref="B37:H41"/>
    <mergeCell ref="B33:B35"/>
    <mergeCell ref="G31:G32"/>
    <mergeCell ref="H31:H32"/>
    <mergeCell ref="F29:F30"/>
    <mergeCell ref="C33:C35"/>
    <mergeCell ref="B44:H44"/>
    <mergeCell ref="B46:B47"/>
    <mergeCell ref="H33:H35"/>
    <mergeCell ref="H27:H28"/>
    <mergeCell ref="G46:G47"/>
    <mergeCell ref="H46:H47"/>
    <mergeCell ref="G29:G30"/>
    <mergeCell ref="H29:H30"/>
    <mergeCell ref="G27:G28"/>
    <mergeCell ref="C27:C28"/>
    <mergeCell ref="D33:D35"/>
    <mergeCell ref="G33:G35"/>
    <mergeCell ref="A50:A51"/>
    <mergeCell ref="C52:C53"/>
    <mergeCell ref="D52:D53"/>
    <mergeCell ref="E52:E53"/>
    <mergeCell ref="A52:A55"/>
    <mergeCell ref="B50:B51"/>
    <mergeCell ref="B52:B53"/>
    <mergeCell ref="B54:B55"/>
    <mergeCell ref="C50:C51"/>
    <mergeCell ref="D50:D51"/>
    <mergeCell ref="E50:E51"/>
    <mergeCell ref="A56:A63"/>
    <mergeCell ref="F56:F57"/>
    <mergeCell ref="G56:G57"/>
    <mergeCell ref="C54:C55"/>
    <mergeCell ref="D54:D55"/>
    <mergeCell ref="E54:E55"/>
    <mergeCell ref="F54:F55"/>
    <mergeCell ref="G54:G55"/>
    <mergeCell ref="H54:H55"/>
    <mergeCell ref="C58:C59"/>
    <mergeCell ref="D58:D59"/>
    <mergeCell ref="E58:E59"/>
    <mergeCell ref="F58:F59"/>
    <mergeCell ref="H60:H61"/>
    <mergeCell ref="B56:B57"/>
    <mergeCell ref="B58:B59"/>
    <mergeCell ref="B60:B61"/>
    <mergeCell ref="H56:H57"/>
    <mergeCell ref="G58:G59"/>
    <mergeCell ref="H58:H59"/>
    <mergeCell ref="B62:H63"/>
    <mergeCell ref="D56:D57"/>
    <mergeCell ref="G86:G87"/>
    <mergeCell ref="H86:H87"/>
    <mergeCell ref="G80:G81"/>
    <mergeCell ref="H80:H81"/>
    <mergeCell ref="H69:H70"/>
    <mergeCell ref="E75:E76"/>
    <mergeCell ref="E69:E70"/>
    <mergeCell ref="E56:E57"/>
    <mergeCell ref="E73:E74"/>
    <mergeCell ref="H64:H66"/>
    <mergeCell ref="F69:F70"/>
    <mergeCell ref="G69:G70"/>
    <mergeCell ref="F60:F61"/>
    <mergeCell ref="G60:G61"/>
    <mergeCell ref="A21:A26"/>
    <mergeCell ref="A64:A74"/>
    <mergeCell ref="A92:A98"/>
    <mergeCell ref="A99:A105"/>
    <mergeCell ref="C90:C91"/>
    <mergeCell ref="D90:D91"/>
    <mergeCell ref="E90:E91"/>
    <mergeCell ref="F90:F91"/>
    <mergeCell ref="C86:C87"/>
    <mergeCell ref="F73:F74"/>
    <mergeCell ref="C71:C72"/>
    <mergeCell ref="D71:D72"/>
    <mergeCell ref="C75:C76"/>
    <mergeCell ref="D77:D79"/>
    <mergeCell ref="C77:C79"/>
    <mergeCell ref="A75:A91"/>
    <mergeCell ref="C69:C70"/>
    <mergeCell ref="D86:D87"/>
    <mergeCell ref="E86:E87"/>
    <mergeCell ref="F86:F87"/>
    <mergeCell ref="C88:C89"/>
    <mergeCell ref="D88:D89"/>
    <mergeCell ref="E88:E89"/>
    <mergeCell ref="D69:D70"/>
    <mergeCell ref="C73:C74"/>
    <mergeCell ref="D73:D74"/>
    <mergeCell ref="D75:D76"/>
    <mergeCell ref="H99:H105"/>
    <mergeCell ref="E99:E105"/>
    <mergeCell ref="F99:F105"/>
    <mergeCell ref="D99:D105"/>
    <mergeCell ref="C99:C105"/>
    <mergeCell ref="G99:G105"/>
    <mergeCell ref="G90:G91"/>
    <mergeCell ref="H90:H91"/>
    <mergeCell ref="F88:F89"/>
    <mergeCell ref="G88:G89"/>
    <mergeCell ref="H88:H89"/>
    <mergeCell ref="C83:C85"/>
    <mergeCell ref="D83:D85"/>
    <mergeCell ref="E83:E85"/>
    <mergeCell ref="F83:F85"/>
    <mergeCell ref="G83:G85"/>
    <mergeCell ref="H83:H85"/>
    <mergeCell ref="C80:C81"/>
    <mergeCell ref="D80:D81"/>
    <mergeCell ref="E80:E81"/>
    <mergeCell ref="F80:F81"/>
  </mergeCells>
  <phoneticPr fontId="4" type="noConversion"/>
  <printOptions horizontalCentered="1"/>
  <pageMargins left="0.23622047244094491" right="0.23622047244094491" top="0.59055118110236227" bottom="0.74803149606299213" header="0.31496062992125984" footer="0.31496062992125984"/>
  <pageSetup paperSize="9" scale="46" fitToHeight="0" orientation="landscape" r:id="rId1"/>
  <rowBreaks count="5" manualBreakCount="5">
    <brk id="20" max="10" man="1"/>
    <brk id="41" max="11" man="1"/>
    <brk id="55" max="10" man="1"/>
    <brk id="74" max="10" man="1"/>
    <brk id="91" max="10" man="1"/>
  </rowBreaks>
  <ignoredErrors>
    <ignoredError sqref="I25" twoDigitTextYear="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I53"/>
  <sheetViews>
    <sheetView view="pageBreakPreview" zoomScale="25" zoomScaleNormal="90" zoomScaleSheetLayoutView="25" workbookViewId="0">
      <pane ySplit="3" topLeftCell="A4" activePane="bottomLeft" state="frozen"/>
      <selection pane="bottomLeft" activeCell="H34" sqref="H34"/>
    </sheetView>
  </sheetViews>
  <sheetFormatPr defaultColWidth="14.44140625" defaultRowHeight="15.75" customHeight="1" x14ac:dyDescent="0.25"/>
  <cols>
    <col min="1" max="1" width="8.33203125" bestFit="1" customWidth="1"/>
    <col min="2" max="2" width="30" bestFit="1" customWidth="1"/>
    <col min="3" max="3" width="30.21875" style="1" bestFit="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thickBot="1" x14ac:dyDescent="0.35">
      <c r="A2" s="533" t="s">
        <v>12</v>
      </c>
      <c r="B2" s="535"/>
      <c r="C2" s="535"/>
      <c r="D2" s="535"/>
      <c r="E2" s="535"/>
      <c r="F2" s="536" t="s">
        <v>482</v>
      </c>
      <c r="G2" s="536"/>
      <c r="H2" s="536"/>
      <c r="I2" s="538"/>
    </row>
    <row r="3" spans="1:9" s="10" customFormat="1" ht="50.1" customHeight="1" thickBot="1" x14ac:dyDescent="0.3">
      <c r="A3" s="159" t="s">
        <v>23</v>
      </c>
      <c r="B3" s="160" t="s">
        <v>224</v>
      </c>
      <c r="C3" s="161" t="s">
        <v>22</v>
      </c>
      <c r="D3" s="162" t="s">
        <v>0</v>
      </c>
      <c r="E3" s="162" t="s">
        <v>2</v>
      </c>
      <c r="F3" s="162" t="s">
        <v>19</v>
      </c>
      <c r="G3" s="160" t="s">
        <v>1</v>
      </c>
      <c r="H3" s="160" t="s">
        <v>15</v>
      </c>
      <c r="I3" s="163" t="s">
        <v>16</v>
      </c>
    </row>
    <row r="4" spans="1:9" ht="49.95" customHeight="1" x14ac:dyDescent="0.25">
      <c r="A4" s="653">
        <v>1</v>
      </c>
      <c r="B4" s="444">
        <v>44958</v>
      </c>
      <c r="C4" s="447">
        <v>2023020100007</v>
      </c>
      <c r="D4" s="449" t="s">
        <v>454</v>
      </c>
      <c r="E4" s="432" t="s">
        <v>483</v>
      </c>
      <c r="F4" s="432" t="s">
        <v>484</v>
      </c>
      <c r="G4" s="577">
        <v>44960</v>
      </c>
      <c r="H4" s="141" t="s">
        <v>37</v>
      </c>
      <c r="I4" s="142">
        <f>9410*1</f>
        <v>9410</v>
      </c>
    </row>
    <row r="5" spans="1:9" ht="49.95" customHeight="1" x14ac:dyDescent="0.25">
      <c r="A5" s="654"/>
      <c r="B5" s="445"/>
      <c r="C5" s="380"/>
      <c r="D5" s="379"/>
      <c r="E5" s="383"/>
      <c r="F5" s="383"/>
      <c r="G5" s="578"/>
      <c r="H5" s="133" t="s">
        <v>38</v>
      </c>
      <c r="I5" s="134">
        <f>747*1</f>
        <v>747</v>
      </c>
    </row>
    <row r="6" spans="1:9" ht="49.95" customHeight="1" x14ac:dyDescent="0.25">
      <c r="A6" s="654"/>
      <c r="B6" s="445">
        <v>44958</v>
      </c>
      <c r="C6" s="380">
        <v>2023020100008</v>
      </c>
      <c r="D6" s="379" t="s">
        <v>454</v>
      </c>
      <c r="E6" s="383" t="s">
        <v>485</v>
      </c>
      <c r="F6" s="383" t="s">
        <v>486</v>
      </c>
      <c r="G6" s="578">
        <v>44960</v>
      </c>
      <c r="H6" s="133" t="s">
        <v>37</v>
      </c>
      <c r="I6" s="134">
        <f>9410*1</f>
        <v>9410</v>
      </c>
    </row>
    <row r="7" spans="1:9" ht="49.95" customHeight="1" x14ac:dyDescent="0.25">
      <c r="A7" s="654"/>
      <c r="B7" s="445"/>
      <c r="C7" s="380"/>
      <c r="D7" s="379"/>
      <c r="E7" s="383"/>
      <c r="F7" s="383"/>
      <c r="G7" s="578"/>
      <c r="H7" s="133" t="s">
        <v>38</v>
      </c>
      <c r="I7" s="134">
        <f>747*1</f>
        <v>747</v>
      </c>
    </row>
    <row r="8" spans="1:9" ht="49.95" customHeight="1" x14ac:dyDescent="0.25">
      <c r="A8" s="654"/>
      <c r="B8" s="445">
        <v>44958</v>
      </c>
      <c r="C8" s="380">
        <v>2023011800004</v>
      </c>
      <c r="D8" s="379" t="s">
        <v>454</v>
      </c>
      <c r="E8" s="383" t="s">
        <v>487</v>
      </c>
      <c r="F8" s="383" t="s">
        <v>488</v>
      </c>
      <c r="G8" s="578">
        <v>44960</v>
      </c>
      <c r="H8" s="133" t="s">
        <v>37</v>
      </c>
      <c r="I8" s="134">
        <f>9410*1</f>
        <v>9410</v>
      </c>
    </row>
    <row r="9" spans="1:9" ht="49.95" customHeight="1" x14ac:dyDescent="0.25">
      <c r="A9" s="654"/>
      <c r="B9" s="445"/>
      <c r="C9" s="380"/>
      <c r="D9" s="379"/>
      <c r="E9" s="383"/>
      <c r="F9" s="383"/>
      <c r="G9" s="578"/>
      <c r="H9" s="133" t="s">
        <v>38</v>
      </c>
      <c r="I9" s="134">
        <f>747*1</f>
        <v>747</v>
      </c>
    </row>
    <row r="10" spans="1:9" ht="49.95" customHeight="1" x14ac:dyDescent="0.25">
      <c r="A10" s="654"/>
      <c r="B10" s="445">
        <v>44958</v>
      </c>
      <c r="C10" s="380">
        <v>2023011900005</v>
      </c>
      <c r="D10" s="379" t="s">
        <v>454</v>
      </c>
      <c r="E10" s="383" t="s">
        <v>489</v>
      </c>
      <c r="F10" s="383" t="s">
        <v>490</v>
      </c>
      <c r="G10" s="578">
        <v>44960</v>
      </c>
      <c r="H10" s="133" t="s">
        <v>37</v>
      </c>
      <c r="I10" s="134">
        <f>9410*1</f>
        <v>9410</v>
      </c>
    </row>
    <row r="11" spans="1:9" ht="49.95" customHeight="1" x14ac:dyDescent="0.25">
      <c r="A11" s="654"/>
      <c r="B11" s="445"/>
      <c r="C11" s="380"/>
      <c r="D11" s="379"/>
      <c r="E11" s="383"/>
      <c r="F11" s="383"/>
      <c r="G11" s="578"/>
      <c r="H11" s="133" t="s">
        <v>38</v>
      </c>
      <c r="I11" s="134">
        <f>747*1</f>
        <v>747</v>
      </c>
    </row>
    <row r="12" spans="1:9" ht="49.95" customHeight="1" x14ac:dyDescent="0.25">
      <c r="A12" s="654"/>
      <c r="B12" s="445">
        <v>44958</v>
      </c>
      <c r="C12" s="380">
        <v>2023011900003</v>
      </c>
      <c r="D12" s="379" t="s">
        <v>454</v>
      </c>
      <c r="E12" s="383" t="s">
        <v>491</v>
      </c>
      <c r="F12" s="383" t="s">
        <v>492</v>
      </c>
      <c r="G12" s="578">
        <v>44960</v>
      </c>
      <c r="H12" s="133" t="s">
        <v>37</v>
      </c>
      <c r="I12" s="134">
        <f>9410*1</f>
        <v>9410</v>
      </c>
    </row>
    <row r="13" spans="1:9" ht="49.95" customHeight="1" x14ac:dyDescent="0.25">
      <c r="A13" s="654"/>
      <c r="B13" s="445"/>
      <c r="C13" s="380"/>
      <c r="D13" s="379"/>
      <c r="E13" s="383"/>
      <c r="F13" s="383"/>
      <c r="G13" s="578"/>
      <c r="H13" s="133" t="s">
        <v>38</v>
      </c>
      <c r="I13" s="134">
        <f>747*1</f>
        <v>747</v>
      </c>
    </row>
    <row r="14" spans="1:9" s="10" customFormat="1" ht="49.95" customHeight="1" x14ac:dyDescent="0.25">
      <c r="A14" s="654"/>
      <c r="B14" s="445">
        <v>44958</v>
      </c>
      <c r="C14" s="380">
        <v>2023011900002</v>
      </c>
      <c r="D14" s="664" t="s">
        <v>44</v>
      </c>
      <c r="E14" s="666" t="s">
        <v>493</v>
      </c>
      <c r="F14" s="383" t="s">
        <v>494</v>
      </c>
      <c r="G14" s="578">
        <v>44960</v>
      </c>
      <c r="H14" s="133" t="s">
        <v>37</v>
      </c>
      <c r="I14" s="134">
        <f>9410*1</f>
        <v>9410</v>
      </c>
    </row>
    <row r="15" spans="1:9" ht="49.95" customHeight="1" thickBot="1" x14ac:dyDescent="0.3">
      <c r="A15" s="655"/>
      <c r="B15" s="446"/>
      <c r="C15" s="448"/>
      <c r="D15" s="669"/>
      <c r="E15" s="668"/>
      <c r="F15" s="433"/>
      <c r="G15" s="583"/>
      <c r="H15" s="143" t="s">
        <v>38</v>
      </c>
      <c r="I15" s="144">
        <f>747*1</f>
        <v>747</v>
      </c>
    </row>
    <row r="16" spans="1:9" ht="49.95" customHeight="1" x14ac:dyDescent="0.25">
      <c r="A16" s="653">
        <v>2</v>
      </c>
      <c r="B16" s="607">
        <v>44958</v>
      </c>
      <c r="C16" s="447">
        <v>2023011800002</v>
      </c>
      <c r="D16" s="449" t="s">
        <v>454</v>
      </c>
      <c r="E16" s="432" t="s">
        <v>495</v>
      </c>
      <c r="F16" s="432" t="s">
        <v>496</v>
      </c>
      <c r="G16" s="577">
        <v>44971</v>
      </c>
      <c r="H16" s="140" t="s">
        <v>516</v>
      </c>
      <c r="I16" s="142">
        <f>47*10</f>
        <v>470</v>
      </c>
    </row>
    <row r="17" spans="1:9" ht="49.95" customHeight="1" x14ac:dyDescent="0.25">
      <c r="A17" s="654"/>
      <c r="B17" s="658"/>
      <c r="C17" s="380"/>
      <c r="D17" s="379"/>
      <c r="E17" s="383"/>
      <c r="F17" s="383"/>
      <c r="G17" s="578"/>
      <c r="H17" s="82" t="s">
        <v>517</v>
      </c>
      <c r="I17" s="134">
        <f>51*5</f>
        <v>255</v>
      </c>
    </row>
    <row r="18" spans="1:9" ht="49.95" customHeight="1" thickBot="1" x14ac:dyDescent="0.3">
      <c r="A18" s="655"/>
      <c r="B18" s="609"/>
      <c r="C18" s="448"/>
      <c r="D18" s="450"/>
      <c r="E18" s="433"/>
      <c r="F18" s="433"/>
      <c r="G18" s="583"/>
      <c r="H18" s="128" t="s">
        <v>515</v>
      </c>
      <c r="I18" s="144">
        <f>471*5</f>
        <v>2355</v>
      </c>
    </row>
    <row r="19" spans="1:9" s="10" customFormat="1" ht="49.95" customHeight="1" x14ac:dyDescent="0.25">
      <c r="A19" s="653">
        <v>3</v>
      </c>
      <c r="B19" s="607">
        <v>44958</v>
      </c>
      <c r="C19" s="447">
        <v>2023011900001</v>
      </c>
      <c r="D19" s="449" t="s">
        <v>454</v>
      </c>
      <c r="E19" s="432" t="s">
        <v>497</v>
      </c>
      <c r="F19" s="432" t="s">
        <v>499</v>
      </c>
      <c r="G19" s="577">
        <v>44963</v>
      </c>
      <c r="H19" s="141" t="s">
        <v>37</v>
      </c>
      <c r="I19" s="142">
        <f>9410*1</f>
        <v>9410</v>
      </c>
    </row>
    <row r="20" spans="1:9" s="10" customFormat="1" ht="49.95" customHeight="1" x14ac:dyDescent="0.25">
      <c r="A20" s="654"/>
      <c r="B20" s="658"/>
      <c r="C20" s="380"/>
      <c r="D20" s="379"/>
      <c r="E20" s="383"/>
      <c r="F20" s="383"/>
      <c r="G20" s="578"/>
      <c r="H20" s="133" t="s">
        <v>38</v>
      </c>
      <c r="I20" s="134">
        <f>747*1</f>
        <v>747</v>
      </c>
    </row>
    <row r="21" spans="1:9" s="10" customFormat="1" ht="49.95" customHeight="1" x14ac:dyDescent="0.25">
      <c r="A21" s="654"/>
      <c r="B21" s="658">
        <v>44958</v>
      </c>
      <c r="C21" s="380">
        <v>2023013000001</v>
      </c>
      <c r="D21" s="379" t="s">
        <v>454</v>
      </c>
      <c r="E21" s="383" t="s">
        <v>498</v>
      </c>
      <c r="F21" s="383" t="s">
        <v>500</v>
      </c>
      <c r="G21" s="578">
        <v>44963</v>
      </c>
      <c r="H21" s="133" t="s">
        <v>37</v>
      </c>
      <c r="I21" s="134">
        <f>9410*1</f>
        <v>9410</v>
      </c>
    </row>
    <row r="22" spans="1:9" s="10" customFormat="1" ht="49.95" customHeight="1" thickBot="1" x14ac:dyDescent="0.3">
      <c r="A22" s="655"/>
      <c r="B22" s="609"/>
      <c r="C22" s="448"/>
      <c r="D22" s="450"/>
      <c r="E22" s="433"/>
      <c r="F22" s="433"/>
      <c r="G22" s="583"/>
      <c r="H22" s="143" t="s">
        <v>38</v>
      </c>
      <c r="I22" s="144">
        <f>747*1</f>
        <v>747</v>
      </c>
    </row>
    <row r="23" spans="1:9" ht="49.95" customHeight="1" x14ac:dyDescent="0.25">
      <c r="A23" s="653">
        <v>4</v>
      </c>
      <c r="B23" s="607">
        <v>44971</v>
      </c>
      <c r="C23" s="447">
        <v>2023021500014</v>
      </c>
      <c r="D23" s="449" t="s">
        <v>454</v>
      </c>
      <c r="E23" s="432" t="s">
        <v>501</v>
      </c>
      <c r="F23" s="432" t="s">
        <v>506</v>
      </c>
      <c r="G23" s="434">
        <v>44971</v>
      </c>
      <c r="H23" s="141" t="s">
        <v>37</v>
      </c>
      <c r="I23" s="142">
        <f>9410*1</f>
        <v>9410</v>
      </c>
    </row>
    <row r="24" spans="1:9" ht="49.95" customHeight="1" x14ac:dyDescent="0.25">
      <c r="A24" s="654"/>
      <c r="B24" s="658"/>
      <c r="C24" s="380"/>
      <c r="D24" s="379"/>
      <c r="E24" s="383"/>
      <c r="F24" s="383"/>
      <c r="G24" s="382"/>
      <c r="H24" s="133" t="s">
        <v>38</v>
      </c>
      <c r="I24" s="134">
        <f>747*1</f>
        <v>747</v>
      </c>
    </row>
    <row r="25" spans="1:9" ht="49.95" customHeight="1" x14ac:dyDescent="0.25">
      <c r="A25" s="654"/>
      <c r="B25" s="658">
        <v>44971</v>
      </c>
      <c r="C25" s="380">
        <v>2023021500013</v>
      </c>
      <c r="D25" s="379" t="s">
        <v>454</v>
      </c>
      <c r="E25" s="383" t="s">
        <v>502</v>
      </c>
      <c r="F25" s="383" t="s">
        <v>507</v>
      </c>
      <c r="G25" s="578">
        <v>44971</v>
      </c>
      <c r="H25" s="133" t="s">
        <v>37</v>
      </c>
      <c r="I25" s="134">
        <f>9410*1</f>
        <v>9410</v>
      </c>
    </row>
    <row r="26" spans="1:9" ht="49.95" customHeight="1" x14ac:dyDescent="0.25">
      <c r="A26" s="654"/>
      <c r="B26" s="658"/>
      <c r="C26" s="380"/>
      <c r="D26" s="379"/>
      <c r="E26" s="383"/>
      <c r="F26" s="383"/>
      <c r="G26" s="578"/>
      <c r="H26" s="133" t="s">
        <v>38</v>
      </c>
      <c r="I26" s="134">
        <f>747*1</f>
        <v>747</v>
      </c>
    </row>
    <row r="27" spans="1:9" ht="49.95" customHeight="1" x14ac:dyDescent="0.25">
      <c r="A27" s="654"/>
      <c r="B27" s="658">
        <v>44971</v>
      </c>
      <c r="C27" s="380">
        <v>2023021500015</v>
      </c>
      <c r="D27" s="379" t="s">
        <v>454</v>
      </c>
      <c r="E27" s="383" t="s">
        <v>503</v>
      </c>
      <c r="F27" s="383" t="s">
        <v>508</v>
      </c>
      <c r="G27" s="578">
        <v>44971</v>
      </c>
      <c r="H27" s="133" t="s">
        <v>37</v>
      </c>
      <c r="I27" s="134">
        <f>9410*1</f>
        <v>9410</v>
      </c>
    </row>
    <row r="28" spans="1:9" ht="49.95" customHeight="1" x14ac:dyDescent="0.25">
      <c r="A28" s="654"/>
      <c r="B28" s="658"/>
      <c r="C28" s="380"/>
      <c r="D28" s="379"/>
      <c r="E28" s="383"/>
      <c r="F28" s="383"/>
      <c r="G28" s="578"/>
      <c r="H28" s="133" t="s">
        <v>38</v>
      </c>
      <c r="I28" s="134">
        <f>747*1</f>
        <v>747</v>
      </c>
    </row>
    <row r="29" spans="1:9" ht="49.95" customHeight="1" x14ac:dyDescent="0.25">
      <c r="A29" s="654"/>
      <c r="B29" s="658">
        <v>44971</v>
      </c>
      <c r="C29" s="380">
        <v>2023021500003</v>
      </c>
      <c r="D29" s="379" t="s">
        <v>454</v>
      </c>
      <c r="E29" s="383" t="s">
        <v>504</v>
      </c>
      <c r="F29" s="383" t="s">
        <v>509</v>
      </c>
      <c r="G29" s="578">
        <v>44971</v>
      </c>
      <c r="H29" s="133" t="s">
        <v>37</v>
      </c>
      <c r="I29" s="134">
        <f>9410*1</f>
        <v>9410</v>
      </c>
    </row>
    <row r="30" spans="1:9" s="53" customFormat="1" ht="49.95" customHeight="1" x14ac:dyDescent="0.25">
      <c r="A30" s="654"/>
      <c r="B30" s="658"/>
      <c r="C30" s="380"/>
      <c r="D30" s="379"/>
      <c r="E30" s="383"/>
      <c r="F30" s="383"/>
      <c r="G30" s="578"/>
      <c r="H30" s="133" t="s">
        <v>38</v>
      </c>
      <c r="I30" s="134">
        <f>747*1</f>
        <v>747</v>
      </c>
    </row>
    <row r="31" spans="1:9" s="53" customFormat="1" ht="49.95" customHeight="1" x14ac:dyDescent="0.25">
      <c r="A31" s="654"/>
      <c r="B31" s="658">
        <v>44971</v>
      </c>
      <c r="C31" s="380">
        <v>2023021500012</v>
      </c>
      <c r="D31" s="379" t="s">
        <v>454</v>
      </c>
      <c r="E31" s="383" t="s">
        <v>505</v>
      </c>
      <c r="F31" s="383" t="s">
        <v>510</v>
      </c>
      <c r="G31" s="578">
        <v>44971</v>
      </c>
      <c r="H31" s="133" t="s">
        <v>37</v>
      </c>
      <c r="I31" s="134">
        <f>9410*1</f>
        <v>9410</v>
      </c>
    </row>
    <row r="32" spans="1:9" s="53" customFormat="1" ht="49.95" customHeight="1" thickBot="1" x14ac:dyDescent="0.3">
      <c r="A32" s="655"/>
      <c r="B32" s="609"/>
      <c r="C32" s="448"/>
      <c r="D32" s="450"/>
      <c r="E32" s="433"/>
      <c r="F32" s="433"/>
      <c r="G32" s="583"/>
      <c r="H32" s="143" t="s">
        <v>38</v>
      </c>
      <c r="I32" s="144">
        <f>747*1</f>
        <v>747</v>
      </c>
    </row>
    <row r="33" spans="1:9" s="53" customFormat="1" ht="49.95" customHeight="1" x14ac:dyDescent="0.25">
      <c r="A33" s="653">
        <v>5</v>
      </c>
      <c r="B33" s="607">
        <v>44970</v>
      </c>
      <c r="C33" s="447">
        <v>2023021300006</v>
      </c>
      <c r="D33" s="449" t="s">
        <v>454</v>
      </c>
      <c r="E33" s="432" t="s">
        <v>511</v>
      </c>
      <c r="F33" s="432" t="s">
        <v>512</v>
      </c>
      <c r="G33" s="577">
        <v>44972</v>
      </c>
      <c r="H33" s="140" t="s">
        <v>518</v>
      </c>
      <c r="I33" s="142">
        <f>47*40</f>
        <v>1880</v>
      </c>
    </row>
    <row r="34" spans="1:9" s="53" customFormat="1" ht="49.95" customHeight="1" thickBot="1" x14ac:dyDescent="0.3">
      <c r="A34" s="655"/>
      <c r="B34" s="609"/>
      <c r="C34" s="448"/>
      <c r="D34" s="450"/>
      <c r="E34" s="433"/>
      <c r="F34" s="433"/>
      <c r="G34" s="583"/>
      <c r="H34" s="128" t="s">
        <v>519</v>
      </c>
      <c r="I34" s="144">
        <f>471*4</f>
        <v>1884</v>
      </c>
    </row>
    <row r="35" spans="1:9" s="53" customFormat="1" ht="55.05" customHeight="1" x14ac:dyDescent="0.25">
      <c r="A35" s="653">
        <v>6</v>
      </c>
      <c r="B35" s="607">
        <v>44970</v>
      </c>
      <c r="C35" s="447">
        <v>2023021300005</v>
      </c>
      <c r="D35" s="449" t="s">
        <v>454</v>
      </c>
      <c r="E35" s="432" t="s">
        <v>513</v>
      </c>
      <c r="F35" s="432" t="s">
        <v>514</v>
      </c>
      <c r="G35" s="577">
        <v>44972</v>
      </c>
      <c r="H35" s="141" t="s">
        <v>520</v>
      </c>
      <c r="I35" s="142">
        <f>106*1</f>
        <v>106</v>
      </c>
    </row>
    <row r="36" spans="1:9" s="53" customFormat="1" ht="55.05" customHeight="1" thickBot="1" x14ac:dyDescent="0.3">
      <c r="A36" s="655"/>
      <c r="B36" s="609"/>
      <c r="C36" s="448"/>
      <c r="D36" s="450"/>
      <c r="E36" s="433"/>
      <c r="F36" s="433"/>
      <c r="G36" s="583"/>
      <c r="H36" s="143" t="s">
        <v>521</v>
      </c>
      <c r="I36" s="144">
        <f>141*1</f>
        <v>141</v>
      </c>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 x14ac:dyDescent="0.25">
      <c r="A45" s="2"/>
      <c r="B45" s="2"/>
      <c r="C45" s="2"/>
      <c r="D45" s="2"/>
      <c r="E45" s="2"/>
      <c r="F45" s="54"/>
      <c r="G45" s="3"/>
      <c r="I45" s="12"/>
    </row>
    <row r="46" spans="1:9" s="53" customFormat="1" ht="15" x14ac:dyDescent="0.25">
      <c r="A46" s="2"/>
      <c r="B46" s="2"/>
      <c r="C46" s="2"/>
      <c r="D46" s="2"/>
      <c r="E46" s="2"/>
      <c r="F46" s="54"/>
      <c r="G46" s="3"/>
      <c r="I46" s="12"/>
    </row>
    <row r="47" spans="1:9" s="53" customFormat="1" ht="15" x14ac:dyDescent="0.25">
      <c r="A47" s="2"/>
      <c r="B47" s="2"/>
      <c r="C47" s="2"/>
      <c r="D47" s="2"/>
      <c r="E47" s="2"/>
      <c r="F47" s="54"/>
      <c r="G47" s="3"/>
      <c r="I47" s="12"/>
    </row>
    <row r="48" spans="1:9" s="53" customFormat="1" ht="15" x14ac:dyDescent="0.25">
      <c r="A48" s="2"/>
      <c r="B48" s="2"/>
      <c r="C48" s="2"/>
      <c r="D48" s="2"/>
      <c r="E48" s="2"/>
      <c r="F48" s="54"/>
      <c r="G48" s="3"/>
      <c r="I48" s="12"/>
    </row>
    <row r="49" spans="1:9" s="53" customFormat="1" ht="15" x14ac:dyDescent="0.25">
      <c r="A49" s="2"/>
      <c r="B49" s="2"/>
      <c r="C49" s="2"/>
      <c r="D49" s="2"/>
      <c r="E49" s="2"/>
      <c r="F49" s="54"/>
      <c r="G49" s="3"/>
      <c r="I49" s="12"/>
    </row>
    <row r="50" spans="1:9" s="53" customFormat="1" ht="15" x14ac:dyDescent="0.25">
      <c r="A50" s="2"/>
      <c r="B50" s="2"/>
      <c r="C50" s="2"/>
      <c r="D50" s="2"/>
      <c r="E50" s="2"/>
      <c r="F50" s="54"/>
      <c r="G50" s="3"/>
      <c r="I50" s="12"/>
    </row>
    <row r="51" spans="1:9" s="53" customFormat="1" ht="15.75" customHeight="1" x14ac:dyDescent="0.25">
      <c r="A51" s="2"/>
      <c r="B51" s="2"/>
      <c r="C51" s="2"/>
      <c r="D51" s="2"/>
      <c r="E51" s="2"/>
      <c r="F51" s="54"/>
      <c r="G51" s="3"/>
      <c r="I51" s="12"/>
    </row>
    <row r="52" spans="1:9" s="53" customFormat="1" ht="15.75" customHeight="1" x14ac:dyDescent="0.25">
      <c r="A52" s="2"/>
      <c r="B52" s="2"/>
      <c r="C52" s="2"/>
      <c r="D52" s="2"/>
      <c r="E52" s="2"/>
      <c r="F52" s="54"/>
      <c r="G52" s="3"/>
      <c r="I52" s="12"/>
    </row>
    <row r="53" spans="1:9" ht="15.75" customHeight="1" x14ac:dyDescent="0.25">
      <c r="A53" s="2"/>
      <c r="B53" s="2"/>
      <c r="C53" s="2"/>
      <c r="D53" s="2"/>
      <c r="E53" s="2"/>
      <c r="F53" s="54"/>
      <c r="G53" s="3"/>
    </row>
  </sheetData>
  <autoFilter ref="A3:I3" xr:uid="{00000000-0009-0000-0000-000015000000}"/>
  <mergeCells count="105">
    <mergeCell ref="A33:A34"/>
    <mergeCell ref="A35:A36"/>
    <mergeCell ref="B35:B36"/>
    <mergeCell ref="C35:C36"/>
    <mergeCell ref="D35:D36"/>
    <mergeCell ref="E35:E36"/>
    <mergeCell ref="B33:B34"/>
    <mergeCell ref="C33:C34"/>
    <mergeCell ref="D33:D34"/>
    <mergeCell ref="E33:E34"/>
    <mergeCell ref="F29:F30"/>
    <mergeCell ref="G29:G30"/>
    <mergeCell ref="B27:B28"/>
    <mergeCell ref="C27:C28"/>
    <mergeCell ref="D27:D28"/>
    <mergeCell ref="E27:E28"/>
    <mergeCell ref="F27:F28"/>
    <mergeCell ref="F35:F36"/>
    <mergeCell ref="G35:G36"/>
    <mergeCell ref="F33:F34"/>
    <mergeCell ref="G33:G34"/>
    <mergeCell ref="A23:A32"/>
    <mergeCell ref="G23:G24"/>
    <mergeCell ref="B25:B26"/>
    <mergeCell ref="C25:C26"/>
    <mergeCell ref="D25:D26"/>
    <mergeCell ref="E25:E26"/>
    <mergeCell ref="F25:F26"/>
    <mergeCell ref="G25:G26"/>
    <mergeCell ref="B23:B24"/>
    <mergeCell ref="C23:C24"/>
    <mergeCell ref="D23:D24"/>
    <mergeCell ref="E23:E24"/>
    <mergeCell ref="F23:F24"/>
    <mergeCell ref="B31:B32"/>
    <mergeCell ref="C31:C32"/>
    <mergeCell ref="D31:D32"/>
    <mergeCell ref="E31:E32"/>
    <mergeCell ref="F31:F32"/>
    <mergeCell ref="G31:G32"/>
    <mergeCell ref="G27:G28"/>
    <mergeCell ref="B29:B30"/>
    <mergeCell ref="C29:C30"/>
    <mergeCell ref="D29:D30"/>
    <mergeCell ref="E29:E30"/>
    <mergeCell ref="F19:F20"/>
    <mergeCell ref="G19:G20"/>
    <mergeCell ref="B21:B22"/>
    <mergeCell ref="C21:C22"/>
    <mergeCell ref="D21:D22"/>
    <mergeCell ref="E21:E22"/>
    <mergeCell ref="F21:F22"/>
    <mergeCell ref="G21:G22"/>
    <mergeCell ref="A4:A15"/>
    <mergeCell ref="A16:A18"/>
    <mergeCell ref="B19:B20"/>
    <mergeCell ref="C19:C20"/>
    <mergeCell ref="D19:D20"/>
    <mergeCell ref="E19:E20"/>
    <mergeCell ref="A19:A22"/>
    <mergeCell ref="B16:B18"/>
    <mergeCell ref="C16:C18"/>
    <mergeCell ref="D16:D18"/>
    <mergeCell ref="E16:E18"/>
    <mergeCell ref="F16:F18"/>
    <mergeCell ref="G16:G18"/>
    <mergeCell ref="B14:B15"/>
    <mergeCell ref="C14:C15"/>
    <mergeCell ref="D14:D15"/>
    <mergeCell ref="E14:E15"/>
    <mergeCell ref="F14:F15"/>
    <mergeCell ref="G14:G15"/>
    <mergeCell ref="B12:B13"/>
    <mergeCell ref="C12:C13"/>
    <mergeCell ref="D12:D13"/>
    <mergeCell ref="E12:E13"/>
    <mergeCell ref="F12:F13"/>
    <mergeCell ref="G12:G13"/>
    <mergeCell ref="B10:B11"/>
    <mergeCell ref="C10:C11"/>
    <mergeCell ref="D10:D11"/>
    <mergeCell ref="E10:E11"/>
    <mergeCell ref="F10:F11"/>
    <mergeCell ref="G10:G11"/>
    <mergeCell ref="B8:B9"/>
    <mergeCell ref="C8:C9"/>
    <mergeCell ref="D8:D9"/>
    <mergeCell ref="E8:E9"/>
    <mergeCell ref="F8:F9"/>
    <mergeCell ref="G8:G9"/>
    <mergeCell ref="B6:B7"/>
    <mergeCell ref="C6:C7"/>
    <mergeCell ref="D6:D7"/>
    <mergeCell ref="E6:E7"/>
    <mergeCell ref="F6:F7"/>
    <mergeCell ref="G6:G7"/>
    <mergeCell ref="A1:I1"/>
    <mergeCell ref="A2:E2"/>
    <mergeCell ref="F2:I2"/>
    <mergeCell ref="B4:B5"/>
    <mergeCell ref="C4:C5"/>
    <mergeCell ref="D4:D5"/>
    <mergeCell ref="E4:E5"/>
    <mergeCell ref="F4:F5"/>
    <mergeCell ref="G4:G5"/>
  </mergeCells>
  <phoneticPr fontId="4" type="noConversion"/>
  <printOptions horizontalCentered="1"/>
  <pageMargins left="0.23622047244094491" right="0.23622047244094491" top="0.59055118110236227" bottom="0.74803149606299213" header="0.31496062992125984" footer="0.31496062992125984"/>
  <pageSetup paperSize="9" scale="50" fitToHeight="0" orientation="landscape" r:id="rId1"/>
  <rowBreaks count="1" manualBreakCount="1">
    <brk id="18" max="8"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I52"/>
  <sheetViews>
    <sheetView view="pageBreakPreview" zoomScale="40" zoomScaleNormal="90" zoomScaleSheetLayoutView="40" workbookViewId="0">
      <pane ySplit="3" topLeftCell="A10" activePane="bottomLeft" state="frozen"/>
      <selection pane="bottomLeft" activeCell="H19" sqref="H19"/>
    </sheetView>
  </sheetViews>
  <sheetFormatPr defaultColWidth="14.44140625" defaultRowHeight="15.75" customHeight="1" x14ac:dyDescent="0.25"/>
  <cols>
    <col min="1" max="1" width="8.33203125" bestFit="1" customWidth="1"/>
    <col min="2" max="2" width="30" bestFit="1" customWidth="1"/>
    <col min="3" max="3" width="30.21875" style="1" bestFit="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thickBot="1" x14ac:dyDescent="0.35">
      <c r="A2" s="533" t="s">
        <v>12</v>
      </c>
      <c r="B2" s="535"/>
      <c r="C2" s="535"/>
      <c r="D2" s="535"/>
      <c r="E2" s="535"/>
      <c r="F2" s="536" t="s">
        <v>453</v>
      </c>
      <c r="G2" s="536"/>
      <c r="H2" s="536"/>
      <c r="I2" s="538"/>
    </row>
    <row r="3" spans="1:9" s="10" customFormat="1" ht="50.1" customHeight="1" x14ac:dyDescent="0.25">
      <c r="A3" s="153" t="s">
        <v>23</v>
      </c>
      <c r="B3" s="154" t="s">
        <v>224</v>
      </c>
      <c r="C3" s="155" t="s">
        <v>22</v>
      </c>
      <c r="D3" s="156" t="s">
        <v>0</v>
      </c>
      <c r="E3" s="156" t="s">
        <v>2</v>
      </c>
      <c r="F3" s="156" t="s">
        <v>19</v>
      </c>
      <c r="G3" s="154" t="s">
        <v>1</v>
      </c>
      <c r="H3" s="154" t="s">
        <v>15</v>
      </c>
      <c r="I3" s="157" t="s">
        <v>16</v>
      </c>
    </row>
    <row r="4" spans="1:9" ht="49.95" customHeight="1" x14ac:dyDescent="0.25">
      <c r="A4" s="392">
        <v>1</v>
      </c>
      <c r="B4" s="382">
        <v>44932</v>
      </c>
      <c r="C4" s="380">
        <v>2023010600009</v>
      </c>
      <c r="D4" s="379" t="s">
        <v>454</v>
      </c>
      <c r="E4" s="383" t="s">
        <v>466</v>
      </c>
      <c r="F4" s="383" t="s">
        <v>467</v>
      </c>
      <c r="G4" s="578">
        <v>44943</v>
      </c>
      <c r="H4" s="133" t="s">
        <v>37</v>
      </c>
      <c r="I4" s="134">
        <f>9410*1</f>
        <v>9410</v>
      </c>
    </row>
    <row r="5" spans="1:9" ht="49.95" customHeight="1" x14ac:dyDescent="0.25">
      <c r="A5" s="392"/>
      <c r="B5" s="382"/>
      <c r="C5" s="380"/>
      <c r="D5" s="379"/>
      <c r="E5" s="383"/>
      <c r="F5" s="383"/>
      <c r="G5" s="578"/>
      <c r="H5" s="133" t="s">
        <v>38</v>
      </c>
      <c r="I5" s="134">
        <f>747*1</f>
        <v>747</v>
      </c>
    </row>
    <row r="6" spans="1:9" ht="49.95" customHeight="1" x14ac:dyDescent="0.25">
      <c r="A6" s="392"/>
      <c r="B6" s="382">
        <v>44932</v>
      </c>
      <c r="C6" s="380">
        <v>2023010600010</v>
      </c>
      <c r="D6" s="379" t="s">
        <v>454</v>
      </c>
      <c r="E6" s="383" t="s">
        <v>469</v>
      </c>
      <c r="F6" s="383" t="s">
        <v>470</v>
      </c>
      <c r="G6" s="578">
        <v>44943</v>
      </c>
      <c r="H6" s="133" t="s">
        <v>37</v>
      </c>
      <c r="I6" s="134">
        <f>9410*1</f>
        <v>9410</v>
      </c>
    </row>
    <row r="7" spans="1:9" ht="49.95" customHeight="1" x14ac:dyDescent="0.25">
      <c r="A7" s="392"/>
      <c r="B7" s="382"/>
      <c r="C7" s="380"/>
      <c r="D7" s="379"/>
      <c r="E7" s="383"/>
      <c r="F7" s="383"/>
      <c r="G7" s="578"/>
      <c r="H7" s="133" t="s">
        <v>38</v>
      </c>
      <c r="I7" s="134">
        <f>747*1</f>
        <v>747</v>
      </c>
    </row>
    <row r="8" spans="1:9" ht="49.95" customHeight="1" x14ac:dyDescent="0.25">
      <c r="A8" s="392"/>
      <c r="B8" s="382">
        <v>44932</v>
      </c>
      <c r="C8" s="380">
        <v>2023010600011</v>
      </c>
      <c r="D8" s="379" t="s">
        <v>454</v>
      </c>
      <c r="E8" s="383" t="s">
        <v>471</v>
      </c>
      <c r="F8" s="383" t="s">
        <v>472</v>
      </c>
      <c r="G8" s="578">
        <v>44943</v>
      </c>
      <c r="H8" s="133" t="s">
        <v>37</v>
      </c>
      <c r="I8" s="134">
        <f>9410*1</f>
        <v>9410</v>
      </c>
    </row>
    <row r="9" spans="1:9" ht="49.95" customHeight="1" x14ac:dyDescent="0.25">
      <c r="A9" s="392"/>
      <c r="B9" s="382"/>
      <c r="C9" s="380"/>
      <c r="D9" s="379"/>
      <c r="E9" s="383"/>
      <c r="F9" s="383"/>
      <c r="G9" s="578"/>
      <c r="H9" s="133" t="s">
        <v>38</v>
      </c>
      <c r="I9" s="134">
        <f>747*1</f>
        <v>747</v>
      </c>
    </row>
    <row r="10" spans="1:9" ht="49.95" customHeight="1" x14ac:dyDescent="0.25">
      <c r="A10" s="392"/>
      <c r="B10" s="382">
        <v>44932</v>
      </c>
      <c r="C10" s="380">
        <v>2023010600012</v>
      </c>
      <c r="D10" s="379" t="s">
        <v>454</v>
      </c>
      <c r="E10" s="383" t="s">
        <v>473</v>
      </c>
      <c r="F10" s="383" t="s">
        <v>476</v>
      </c>
      <c r="G10" s="578">
        <v>44943</v>
      </c>
      <c r="H10" s="133" t="s">
        <v>37</v>
      </c>
      <c r="I10" s="134">
        <f>9410*1</f>
        <v>9410</v>
      </c>
    </row>
    <row r="11" spans="1:9" ht="49.95" customHeight="1" x14ac:dyDescent="0.25">
      <c r="A11" s="392"/>
      <c r="B11" s="382"/>
      <c r="C11" s="380"/>
      <c r="D11" s="379"/>
      <c r="E11" s="383"/>
      <c r="F11" s="383"/>
      <c r="G11" s="578"/>
      <c r="H11" s="133" t="s">
        <v>38</v>
      </c>
      <c r="I11" s="134">
        <f>747*1</f>
        <v>747</v>
      </c>
    </row>
    <row r="12" spans="1:9" ht="49.95" customHeight="1" x14ac:dyDescent="0.25">
      <c r="A12" s="392"/>
      <c r="B12" s="382">
        <v>44932</v>
      </c>
      <c r="C12" s="380">
        <v>2023010600013</v>
      </c>
      <c r="D12" s="379" t="s">
        <v>454</v>
      </c>
      <c r="E12" s="383" t="s">
        <v>474</v>
      </c>
      <c r="F12" s="383" t="s">
        <v>475</v>
      </c>
      <c r="G12" s="578">
        <v>44943</v>
      </c>
      <c r="H12" s="133" t="s">
        <v>37</v>
      </c>
      <c r="I12" s="134">
        <f>9410*1</f>
        <v>9410</v>
      </c>
    </row>
    <row r="13" spans="1:9" ht="49.95" customHeight="1" x14ac:dyDescent="0.25">
      <c r="A13" s="392"/>
      <c r="B13" s="382"/>
      <c r="C13" s="380"/>
      <c r="D13" s="379"/>
      <c r="E13" s="383"/>
      <c r="F13" s="383"/>
      <c r="G13" s="578"/>
      <c r="H13" s="133" t="s">
        <v>38</v>
      </c>
      <c r="I13" s="134">
        <f>747*1</f>
        <v>747</v>
      </c>
    </row>
    <row r="14" spans="1:9" s="10" customFormat="1" ht="49.95" customHeight="1" x14ac:dyDescent="0.25">
      <c r="A14" s="392"/>
      <c r="B14" s="382">
        <v>44933</v>
      </c>
      <c r="C14" s="380">
        <v>2023010700001</v>
      </c>
      <c r="D14" s="664" t="s">
        <v>44</v>
      </c>
      <c r="E14" s="666" t="s">
        <v>462</v>
      </c>
      <c r="F14" s="383" t="s">
        <v>463</v>
      </c>
      <c r="G14" s="578">
        <v>44943</v>
      </c>
      <c r="H14" s="133" t="s">
        <v>37</v>
      </c>
      <c r="I14" s="134">
        <f>9410*1</f>
        <v>9410</v>
      </c>
    </row>
    <row r="15" spans="1:9" ht="49.95" customHeight="1" x14ac:dyDescent="0.25">
      <c r="A15" s="392"/>
      <c r="B15" s="382"/>
      <c r="C15" s="380"/>
      <c r="D15" s="664"/>
      <c r="E15" s="666"/>
      <c r="F15" s="383"/>
      <c r="G15" s="578"/>
      <c r="H15" s="133" t="s">
        <v>38</v>
      </c>
      <c r="I15" s="134">
        <f>747*1</f>
        <v>747</v>
      </c>
    </row>
    <row r="16" spans="1:9" ht="49.95" customHeight="1" x14ac:dyDescent="0.25">
      <c r="A16" s="392"/>
      <c r="B16" s="382">
        <v>44933</v>
      </c>
      <c r="C16" s="380">
        <v>2023010700002</v>
      </c>
      <c r="D16" s="379" t="s">
        <v>454</v>
      </c>
      <c r="E16" s="383" t="s">
        <v>464</v>
      </c>
      <c r="F16" s="383" t="s">
        <v>465</v>
      </c>
      <c r="G16" s="578">
        <v>44943</v>
      </c>
      <c r="H16" s="133" t="s">
        <v>37</v>
      </c>
      <c r="I16" s="134">
        <f>9410*1</f>
        <v>9410</v>
      </c>
    </row>
    <row r="17" spans="1:9" ht="49.95" customHeight="1" x14ac:dyDescent="0.25">
      <c r="A17" s="392"/>
      <c r="B17" s="382"/>
      <c r="C17" s="380"/>
      <c r="D17" s="379"/>
      <c r="E17" s="383"/>
      <c r="F17" s="383"/>
      <c r="G17" s="578"/>
      <c r="H17" s="133" t="s">
        <v>38</v>
      </c>
      <c r="I17" s="134">
        <f>747*1</f>
        <v>747</v>
      </c>
    </row>
    <row r="18" spans="1:9" s="10" customFormat="1" ht="100.05" customHeight="1" x14ac:dyDescent="0.25">
      <c r="A18" s="19">
        <v>2</v>
      </c>
      <c r="B18" s="113">
        <v>44929</v>
      </c>
      <c r="C18" s="148">
        <v>2022121600001</v>
      </c>
      <c r="D18" s="150" t="s">
        <v>454</v>
      </c>
      <c r="E18" s="149" t="s">
        <v>455</v>
      </c>
      <c r="F18" s="149" t="s">
        <v>456</v>
      </c>
      <c r="G18" s="113">
        <v>44938</v>
      </c>
      <c r="H18" s="133" t="s">
        <v>480</v>
      </c>
      <c r="I18" s="134">
        <v>1274</v>
      </c>
    </row>
    <row r="19" spans="1:9" s="10" customFormat="1" ht="115.8" customHeight="1" x14ac:dyDescent="0.25">
      <c r="A19" s="19">
        <v>3</v>
      </c>
      <c r="B19" s="113">
        <v>44930</v>
      </c>
      <c r="C19" s="151">
        <v>2023010400015</v>
      </c>
      <c r="D19" s="150" t="s">
        <v>454</v>
      </c>
      <c r="E19" s="81" t="s">
        <v>457</v>
      </c>
      <c r="F19" s="81" t="s">
        <v>477</v>
      </c>
      <c r="G19" s="113">
        <v>44939</v>
      </c>
      <c r="H19" s="133" t="s">
        <v>481</v>
      </c>
      <c r="I19" s="134">
        <f>392*4</f>
        <v>1568</v>
      </c>
    </row>
    <row r="20" spans="1:9" s="10" customFormat="1" ht="100.05" customHeight="1" x14ac:dyDescent="0.25">
      <c r="A20" s="19">
        <v>4</v>
      </c>
      <c r="B20" s="113">
        <v>44930</v>
      </c>
      <c r="C20" s="151">
        <v>2023010400016</v>
      </c>
      <c r="D20" s="150" t="s">
        <v>454</v>
      </c>
      <c r="E20" s="81" t="s">
        <v>458</v>
      </c>
      <c r="F20" s="81" t="s">
        <v>459</v>
      </c>
      <c r="G20" s="113">
        <v>44938</v>
      </c>
      <c r="H20" s="133" t="s">
        <v>478</v>
      </c>
      <c r="I20" s="134">
        <v>1204</v>
      </c>
    </row>
    <row r="21" spans="1:9" s="10" customFormat="1" ht="100.05" customHeight="1" thickBot="1" x14ac:dyDescent="0.3">
      <c r="A21" s="28">
        <v>5</v>
      </c>
      <c r="B21" s="90">
        <v>44930</v>
      </c>
      <c r="C21" s="152">
        <v>2023010400017</v>
      </c>
      <c r="D21" s="158" t="s">
        <v>454</v>
      </c>
      <c r="E21" s="89" t="s">
        <v>460</v>
      </c>
      <c r="F21" s="89" t="s">
        <v>461</v>
      </c>
      <c r="G21" s="90">
        <v>44938</v>
      </c>
      <c r="H21" s="143" t="s">
        <v>479</v>
      </c>
      <c r="I21" s="144">
        <f>1529*2</f>
        <v>3058</v>
      </c>
    </row>
    <row r="22" spans="1:9" ht="15" customHeight="1" x14ac:dyDescent="0.25">
      <c r="A22" s="2"/>
      <c r="B22" s="2"/>
      <c r="C22" s="2"/>
      <c r="D22" s="129"/>
      <c r="E22" s="2"/>
      <c r="F22" s="54"/>
      <c r="G22" s="3"/>
    </row>
    <row r="23" spans="1:9" ht="15" x14ac:dyDescent="0.25">
      <c r="A23" s="2"/>
      <c r="B23" s="2"/>
      <c r="C23" s="2"/>
      <c r="D23" s="2"/>
      <c r="E23" s="2"/>
      <c r="F23" s="54"/>
      <c r="G23" s="3"/>
    </row>
    <row r="24" spans="1:9" ht="15" x14ac:dyDescent="0.25">
      <c r="A24" s="2"/>
      <c r="B24" s="2"/>
      <c r="C24" s="2"/>
      <c r="D24" s="2"/>
      <c r="E24" s="2"/>
      <c r="F24" s="54"/>
      <c r="G24" s="3"/>
    </row>
    <row r="25" spans="1:9" ht="15" x14ac:dyDescent="0.25">
      <c r="A25" s="2"/>
      <c r="B25" s="2"/>
      <c r="C25" s="2"/>
      <c r="D25" s="2"/>
      <c r="E25" s="2"/>
      <c r="F25" s="54"/>
      <c r="G25" s="3"/>
    </row>
    <row r="26" spans="1:9" ht="15" x14ac:dyDescent="0.25">
      <c r="A26" s="2"/>
      <c r="B26" s="2"/>
      <c r="C26" s="2"/>
      <c r="D26" s="2"/>
      <c r="E26" s="2"/>
      <c r="F26" s="54" t="s">
        <v>468</v>
      </c>
      <c r="G26" s="3"/>
    </row>
    <row r="27" spans="1:9" ht="15" x14ac:dyDescent="0.25">
      <c r="A27" s="2"/>
      <c r="B27" s="2"/>
      <c r="C27" s="2"/>
      <c r="D27" s="2"/>
      <c r="E27" s="2"/>
      <c r="F27" s="54"/>
      <c r="G27" s="3"/>
    </row>
    <row r="28" spans="1:9" ht="15" x14ac:dyDescent="0.25">
      <c r="A28" s="2"/>
      <c r="B28" s="2"/>
      <c r="C28" s="2"/>
      <c r="D28" s="2"/>
      <c r="E28" s="2"/>
      <c r="F28" s="54"/>
      <c r="G28" s="3"/>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 x14ac:dyDescent="0.25">
      <c r="A45" s="2"/>
      <c r="B45" s="2"/>
      <c r="C45" s="2"/>
      <c r="D45" s="2"/>
      <c r="E45" s="2"/>
      <c r="F45" s="54"/>
      <c r="G45" s="3"/>
      <c r="I45" s="12"/>
    </row>
    <row r="46" spans="1:9" s="53" customFormat="1" ht="15" x14ac:dyDescent="0.25">
      <c r="A46" s="2"/>
      <c r="B46" s="2"/>
      <c r="C46" s="2"/>
      <c r="D46" s="2"/>
      <c r="E46" s="2"/>
      <c r="F46" s="54"/>
      <c r="G46" s="3"/>
      <c r="I46" s="12"/>
    </row>
    <row r="47" spans="1:9" s="53" customFormat="1" ht="15" x14ac:dyDescent="0.25">
      <c r="A47" s="2"/>
      <c r="B47" s="2"/>
      <c r="C47" s="2"/>
      <c r="D47" s="2"/>
      <c r="E47" s="2"/>
      <c r="F47" s="54"/>
      <c r="G47" s="3"/>
      <c r="I47" s="12"/>
    </row>
    <row r="48" spans="1:9" s="53" customFormat="1" ht="15" x14ac:dyDescent="0.25">
      <c r="A48" s="2"/>
      <c r="B48" s="2"/>
      <c r="C48" s="2"/>
      <c r="D48" s="2"/>
      <c r="E48" s="2"/>
      <c r="F48" s="54"/>
      <c r="G48" s="3"/>
      <c r="I48" s="12"/>
    </row>
    <row r="49" spans="1:9" s="53" customFormat="1" ht="15" x14ac:dyDescent="0.25">
      <c r="A49" s="2"/>
      <c r="B49" s="2"/>
      <c r="C49" s="2"/>
      <c r="D49" s="2"/>
      <c r="E49" s="2"/>
      <c r="F49" s="54"/>
      <c r="G49" s="3"/>
      <c r="I49" s="12"/>
    </row>
    <row r="50" spans="1:9" s="53" customFormat="1" ht="15.75" customHeight="1" x14ac:dyDescent="0.25">
      <c r="A50" s="2"/>
      <c r="B50" s="2"/>
      <c r="C50" s="2"/>
      <c r="D50" s="2"/>
      <c r="E50" s="2"/>
      <c r="F50" s="54"/>
      <c r="G50" s="3"/>
      <c r="I50" s="12"/>
    </row>
    <row r="51" spans="1:9" s="53" customFormat="1" ht="15.75" customHeight="1" x14ac:dyDescent="0.25">
      <c r="A51" s="2"/>
      <c r="B51" s="2"/>
      <c r="C51" s="2"/>
      <c r="D51" s="2"/>
      <c r="E51" s="2"/>
      <c r="F51" s="54"/>
      <c r="G51" s="3"/>
      <c r="I51" s="12"/>
    </row>
    <row r="52" spans="1:9" ht="15.75" customHeight="1" x14ac:dyDescent="0.25">
      <c r="A52" s="2"/>
      <c r="B52" s="2"/>
      <c r="C52" s="2"/>
      <c r="D52" s="2"/>
      <c r="E52" s="2"/>
      <c r="F52" s="54"/>
      <c r="G52" s="3"/>
    </row>
  </sheetData>
  <autoFilter ref="A3:I3" xr:uid="{00000000-0009-0000-0000-000016000000}"/>
  <mergeCells count="46">
    <mergeCell ref="G6:G7"/>
    <mergeCell ref="B12:B13"/>
    <mergeCell ref="G16:G17"/>
    <mergeCell ref="G8:G9"/>
    <mergeCell ref="G10:G11"/>
    <mergeCell ref="G12:G13"/>
    <mergeCell ref="E8:E9"/>
    <mergeCell ref="E10:E11"/>
    <mergeCell ref="F8:F9"/>
    <mergeCell ref="F10:F11"/>
    <mergeCell ref="E12:E13"/>
    <mergeCell ref="F12:F13"/>
    <mergeCell ref="B16:B17"/>
    <mergeCell ref="C10:C11"/>
    <mergeCell ref="F14:F15"/>
    <mergeCell ref="D16:D17"/>
    <mergeCell ref="F4:F5"/>
    <mergeCell ref="E4:E5"/>
    <mergeCell ref="D4:D5"/>
    <mergeCell ref="C4:C5"/>
    <mergeCell ref="C8:C9"/>
    <mergeCell ref="E6:E7"/>
    <mergeCell ref="F6:F7"/>
    <mergeCell ref="A1:I1"/>
    <mergeCell ref="A2:E2"/>
    <mergeCell ref="F2:I2"/>
    <mergeCell ref="A4:A17"/>
    <mergeCell ref="G14:G15"/>
    <mergeCell ref="B4:B5"/>
    <mergeCell ref="G4:G5"/>
    <mergeCell ref="F16:F17"/>
    <mergeCell ref="E16:E17"/>
    <mergeCell ref="B14:B15"/>
    <mergeCell ref="C14:C15"/>
    <mergeCell ref="D14:D15"/>
    <mergeCell ref="E14:E15"/>
    <mergeCell ref="C12:C13"/>
    <mergeCell ref="D8:D9"/>
    <mergeCell ref="D10:D11"/>
    <mergeCell ref="C16:C17"/>
    <mergeCell ref="B6:B7"/>
    <mergeCell ref="B8:B9"/>
    <mergeCell ref="B10:B11"/>
    <mergeCell ref="D12:D13"/>
    <mergeCell ref="C6:C7"/>
    <mergeCell ref="D6:D7"/>
  </mergeCells>
  <phoneticPr fontId="4" type="noConversion"/>
  <printOptions horizontalCentered="1"/>
  <pageMargins left="0.23622047244094491" right="0.23622047244094491" top="0.59055118110236227" bottom="0.74803149606299213" header="0.31496062992125984" footer="0.31496062992125984"/>
  <pageSetup paperSize="9" scale="50" fitToHeight="0" orientation="landscape" r:id="rId1"/>
  <rowBreaks count="1" manualBreakCount="1">
    <brk id="17" max="8"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I48"/>
  <sheetViews>
    <sheetView view="pageBreakPreview" zoomScale="40" zoomScaleNormal="90" zoomScaleSheetLayoutView="40" workbookViewId="0">
      <pane ySplit="3" topLeftCell="A10" activePane="bottomLeft" state="frozen"/>
      <selection pane="bottomLeft" activeCell="H4" sqref="H4:H5"/>
    </sheetView>
  </sheetViews>
  <sheetFormatPr defaultColWidth="14.44140625" defaultRowHeight="15.75" customHeight="1" x14ac:dyDescent="0.25"/>
  <cols>
    <col min="1" max="1" width="8.33203125" bestFit="1" customWidth="1"/>
    <col min="2" max="2" width="30" bestFit="1"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431</v>
      </c>
      <c r="G2" s="389"/>
      <c r="H2" s="389"/>
      <c r="I2" s="390"/>
    </row>
    <row r="3" spans="1:9" s="10" customFormat="1" ht="50.1" customHeight="1" thickBot="1" x14ac:dyDescent="0.3">
      <c r="A3" s="135" t="s">
        <v>23</v>
      </c>
      <c r="B3" s="136" t="s">
        <v>224</v>
      </c>
      <c r="C3" s="137" t="s">
        <v>22</v>
      </c>
      <c r="D3" s="138" t="s">
        <v>0</v>
      </c>
      <c r="E3" s="138" t="s">
        <v>2</v>
      </c>
      <c r="F3" s="138" t="s">
        <v>19</v>
      </c>
      <c r="G3" s="136" t="s">
        <v>1</v>
      </c>
      <c r="H3" s="136" t="s">
        <v>15</v>
      </c>
      <c r="I3" s="139" t="s">
        <v>16</v>
      </c>
    </row>
    <row r="4" spans="1:9" s="10" customFormat="1" ht="70.05" customHeight="1" x14ac:dyDescent="0.25">
      <c r="A4" s="677">
        <v>1</v>
      </c>
      <c r="B4" s="548">
        <v>44890</v>
      </c>
      <c r="C4" s="679">
        <v>2022110700012</v>
      </c>
      <c r="D4" s="673" t="s">
        <v>433</v>
      </c>
      <c r="E4" s="675" t="s">
        <v>434</v>
      </c>
      <c r="F4" s="524" t="s">
        <v>452</v>
      </c>
      <c r="G4" s="670">
        <v>44900</v>
      </c>
      <c r="H4" s="140" t="s">
        <v>435</v>
      </c>
      <c r="I4" s="108">
        <f>47*1780</f>
        <v>83660</v>
      </c>
    </row>
    <row r="5" spans="1:9" s="10" customFormat="1" ht="70.05" customHeight="1" x14ac:dyDescent="0.25">
      <c r="A5" s="392"/>
      <c r="B5" s="678"/>
      <c r="C5" s="680"/>
      <c r="D5" s="682"/>
      <c r="E5" s="683"/>
      <c r="F5" s="492"/>
      <c r="G5" s="560"/>
      <c r="H5" s="82" t="s">
        <v>436</v>
      </c>
      <c r="I5" s="41">
        <f>51*31</f>
        <v>1581</v>
      </c>
    </row>
    <row r="6" spans="1:9" s="10" customFormat="1" ht="70.05" customHeight="1" x14ac:dyDescent="0.25">
      <c r="A6" s="392"/>
      <c r="B6" s="678"/>
      <c r="C6" s="680"/>
      <c r="D6" s="682"/>
      <c r="E6" s="683"/>
      <c r="F6" s="492"/>
      <c r="G6" s="560"/>
      <c r="H6" s="83" t="s">
        <v>437</v>
      </c>
      <c r="I6" s="41">
        <f>212*9</f>
        <v>1908</v>
      </c>
    </row>
    <row r="7" spans="1:9" s="10" customFormat="1" ht="70.05" customHeight="1" x14ac:dyDescent="0.25">
      <c r="A7" s="392"/>
      <c r="B7" s="678"/>
      <c r="C7" s="680"/>
      <c r="D7" s="682"/>
      <c r="E7" s="683"/>
      <c r="F7" s="492"/>
      <c r="G7" s="560"/>
      <c r="H7" s="133" t="s">
        <v>438</v>
      </c>
      <c r="I7" s="134">
        <f>9410*3</f>
        <v>28230</v>
      </c>
    </row>
    <row r="8" spans="1:9" s="10" customFormat="1" ht="70.05" customHeight="1" x14ac:dyDescent="0.25">
      <c r="A8" s="392"/>
      <c r="B8" s="678"/>
      <c r="C8" s="680"/>
      <c r="D8" s="682"/>
      <c r="E8" s="683"/>
      <c r="F8" s="492"/>
      <c r="G8" s="560"/>
      <c r="H8" s="133" t="s">
        <v>439</v>
      </c>
      <c r="I8" s="134">
        <f>747*3</f>
        <v>2241</v>
      </c>
    </row>
    <row r="9" spans="1:9" s="10" customFormat="1" ht="70.05" customHeight="1" x14ac:dyDescent="0.25">
      <c r="A9" s="392"/>
      <c r="B9" s="678"/>
      <c r="C9" s="680"/>
      <c r="D9" s="682"/>
      <c r="E9" s="683"/>
      <c r="F9" s="492"/>
      <c r="G9" s="560"/>
      <c r="H9" s="82" t="s">
        <v>440</v>
      </c>
      <c r="I9" s="41">
        <f>1098*3</f>
        <v>3294</v>
      </c>
    </row>
    <row r="10" spans="1:9" s="10" customFormat="1" ht="70.05" customHeight="1" x14ac:dyDescent="0.25">
      <c r="A10" s="392"/>
      <c r="B10" s="678"/>
      <c r="C10" s="680"/>
      <c r="D10" s="682"/>
      <c r="E10" s="683"/>
      <c r="F10" s="492"/>
      <c r="G10" s="560"/>
      <c r="H10" s="82" t="s">
        <v>441</v>
      </c>
      <c r="I10" s="41">
        <f>471*2</f>
        <v>942</v>
      </c>
    </row>
    <row r="11" spans="1:9" s="10" customFormat="1" ht="70.05" customHeight="1" thickBot="1" x14ac:dyDescent="0.3">
      <c r="A11" s="594"/>
      <c r="B11" s="549"/>
      <c r="C11" s="681"/>
      <c r="D11" s="674"/>
      <c r="E11" s="676"/>
      <c r="F11" s="525"/>
      <c r="G11" s="561"/>
      <c r="H11" s="85" t="s">
        <v>442</v>
      </c>
      <c r="I11" s="45">
        <f>283*14</f>
        <v>3962</v>
      </c>
    </row>
    <row r="12" spans="1:9" s="10" customFormat="1" ht="70.05" customHeight="1" x14ac:dyDescent="0.25">
      <c r="A12" s="659">
        <v>2</v>
      </c>
      <c r="B12" s="548">
        <v>44902</v>
      </c>
      <c r="C12" s="671">
        <v>2022120700005</v>
      </c>
      <c r="D12" s="673" t="s">
        <v>432</v>
      </c>
      <c r="E12" s="675" t="s">
        <v>443</v>
      </c>
      <c r="F12" s="524" t="s">
        <v>444</v>
      </c>
      <c r="G12" s="670">
        <v>44908</v>
      </c>
      <c r="H12" s="141" t="s">
        <v>445</v>
      </c>
      <c r="I12" s="142">
        <f>9410*1</f>
        <v>9410</v>
      </c>
    </row>
    <row r="13" spans="1:9" ht="70.05" customHeight="1" thickBot="1" x14ac:dyDescent="0.3">
      <c r="A13" s="660"/>
      <c r="B13" s="549"/>
      <c r="C13" s="672"/>
      <c r="D13" s="674"/>
      <c r="E13" s="676"/>
      <c r="F13" s="525"/>
      <c r="G13" s="561"/>
      <c r="H13" s="143" t="s">
        <v>446</v>
      </c>
      <c r="I13" s="144">
        <f>747*1</f>
        <v>747</v>
      </c>
    </row>
    <row r="14" spans="1:9" ht="139.94999999999999" customHeight="1" thickBot="1" x14ac:dyDescent="0.3">
      <c r="A14" s="106">
        <v>3</v>
      </c>
      <c r="B14" s="97">
        <v>44907</v>
      </c>
      <c r="C14" s="145">
        <v>2022121200002</v>
      </c>
      <c r="D14" s="93" t="s">
        <v>447</v>
      </c>
      <c r="E14" s="94" t="s">
        <v>448</v>
      </c>
      <c r="F14" s="99" t="s">
        <v>419</v>
      </c>
      <c r="G14" s="146">
        <v>44911</v>
      </c>
      <c r="H14" s="147" t="s">
        <v>124</v>
      </c>
      <c r="I14" s="107">
        <v>549</v>
      </c>
    </row>
    <row r="15" spans="1:9" ht="70.05" customHeight="1" x14ac:dyDescent="0.25">
      <c r="A15" s="677">
        <v>4</v>
      </c>
      <c r="B15" s="684">
        <v>44910</v>
      </c>
      <c r="C15" s="686">
        <v>2022121500001</v>
      </c>
      <c r="D15" s="673" t="s">
        <v>432</v>
      </c>
      <c r="E15" s="675" t="s">
        <v>449</v>
      </c>
      <c r="F15" s="524" t="s">
        <v>444</v>
      </c>
      <c r="G15" s="670">
        <v>44918</v>
      </c>
      <c r="H15" s="141" t="s">
        <v>445</v>
      </c>
      <c r="I15" s="142">
        <f>9410*1</f>
        <v>9410</v>
      </c>
    </row>
    <row r="16" spans="1:9" ht="70.05" customHeight="1" thickBot="1" x14ac:dyDescent="0.3">
      <c r="A16" s="594"/>
      <c r="B16" s="685"/>
      <c r="C16" s="687"/>
      <c r="D16" s="674"/>
      <c r="E16" s="676"/>
      <c r="F16" s="525"/>
      <c r="G16" s="561"/>
      <c r="H16" s="143" t="s">
        <v>446</v>
      </c>
      <c r="I16" s="144">
        <f>747*1</f>
        <v>747</v>
      </c>
    </row>
    <row r="17" spans="1:9" ht="139.94999999999999" customHeight="1" thickBot="1" x14ac:dyDescent="0.3">
      <c r="A17" s="106">
        <v>5</v>
      </c>
      <c r="B17" s="97">
        <v>44910</v>
      </c>
      <c r="C17" s="145">
        <v>2022121500002</v>
      </c>
      <c r="D17" s="93" t="s">
        <v>433</v>
      </c>
      <c r="E17" s="94" t="s">
        <v>450</v>
      </c>
      <c r="F17" s="99" t="s">
        <v>451</v>
      </c>
      <c r="G17" s="146">
        <v>44918</v>
      </c>
      <c r="H17" s="147" t="s">
        <v>304</v>
      </c>
      <c r="I17" s="107">
        <f>1*1062</f>
        <v>1062</v>
      </c>
    </row>
    <row r="18" spans="1:9" ht="15" customHeight="1" x14ac:dyDescent="0.25">
      <c r="A18" s="2"/>
      <c r="B18" s="2"/>
      <c r="C18" s="2"/>
      <c r="D18" s="129"/>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ht="15" x14ac:dyDescent="0.25">
      <c r="A22" s="2"/>
      <c r="B22" s="2"/>
      <c r="C22" s="2"/>
      <c r="D22" s="2"/>
      <c r="E22" s="2"/>
      <c r="F22" s="54"/>
      <c r="G22" s="3"/>
    </row>
    <row r="23" spans="1:9" ht="15" x14ac:dyDescent="0.25">
      <c r="A23" s="2"/>
      <c r="B23" s="2"/>
      <c r="C23" s="2"/>
      <c r="D23" s="2"/>
      <c r="E23" s="2"/>
      <c r="F23" s="54"/>
      <c r="G23" s="3"/>
    </row>
    <row r="24" spans="1:9" ht="15" x14ac:dyDescent="0.25">
      <c r="A24" s="2"/>
      <c r="B24" s="2"/>
      <c r="C24" s="2"/>
      <c r="D24" s="2"/>
      <c r="E24" s="2"/>
      <c r="F24" s="54"/>
      <c r="G24" s="3"/>
    </row>
    <row r="25" spans="1:9" s="53" customFormat="1" ht="15" x14ac:dyDescent="0.25">
      <c r="A25" s="2"/>
      <c r="B25" s="2"/>
      <c r="C25" s="2"/>
      <c r="D25" s="2"/>
      <c r="E25" s="2"/>
      <c r="F25" s="54"/>
      <c r="G25" s="3"/>
      <c r="I25" s="12"/>
    </row>
    <row r="26" spans="1:9" s="53" customFormat="1" ht="15" x14ac:dyDescent="0.25">
      <c r="A26" s="2"/>
      <c r="B26" s="2"/>
      <c r="C26" s="2"/>
      <c r="D26" s="2"/>
      <c r="E26" s="2"/>
      <c r="F26" s="54"/>
      <c r="G26" s="3"/>
      <c r="I26" s="12"/>
    </row>
    <row r="27" spans="1:9" s="53" customFormat="1" ht="15" x14ac:dyDescent="0.25">
      <c r="A27" s="2"/>
      <c r="B27" s="2"/>
      <c r="C27" s="2"/>
      <c r="D27" s="2"/>
      <c r="E27" s="2"/>
      <c r="F27" s="54"/>
      <c r="G27" s="3"/>
      <c r="I27" s="12"/>
    </row>
    <row r="28" spans="1:9" s="53" customFormat="1" ht="15" x14ac:dyDescent="0.25">
      <c r="A28" s="2"/>
      <c r="B28" s="2"/>
      <c r="C28" s="2"/>
      <c r="D28" s="2"/>
      <c r="E28" s="2"/>
      <c r="F28" s="54"/>
      <c r="G28" s="3"/>
      <c r="I28" s="12"/>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 x14ac:dyDescent="0.25">
      <c r="A45" s="2"/>
      <c r="B45" s="2"/>
      <c r="C45" s="2"/>
      <c r="D45" s="2"/>
      <c r="E45" s="2"/>
      <c r="F45" s="54"/>
      <c r="G45" s="3"/>
      <c r="I45" s="12"/>
    </row>
    <row r="46" spans="1:9" s="53" customFormat="1" ht="15.75" customHeight="1" x14ac:dyDescent="0.25">
      <c r="A46" s="2"/>
      <c r="B46" s="2"/>
      <c r="C46" s="2"/>
      <c r="D46" s="2"/>
      <c r="E46" s="2"/>
      <c r="F46" s="54"/>
      <c r="G46" s="3"/>
      <c r="I46" s="12"/>
    </row>
    <row r="47" spans="1:9" s="53" customFormat="1" ht="15.75" customHeight="1" x14ac:dyDescent="0.25">
      <c r="A47" s="2"/>
      <c r="B47" s="2"/>
      <c r="C47" s="2"/>
      <c r="D47" s="2"/>
      <c r="E47" s="2"/>
      <c r="F47" s="54"/>
      <c r="G47" s="3"/>
      <c r="I47" s="12"/>
    </row>
    <row r="48" spans="1:9" ht="15.75" customHeight="1" x14ac:dyDescent="0.25">
      <c r="A48" s="2"/>
      <c r="B48" s="2"/>
      <c r="C48" s="2"/>
      <c r="D48" s="2"/>
      <c r="E48" s="2"/>
      <c r="F48" s="54"/>
      <c r="G48" s="3"/>
    </row>
  </sheetData>
  <autoFilter ref="A3:I3" xr:uid="{00000000-0009-0000-0000-000017000000}"/>
  <mergeCells count="24">
    <mergeCell ref="G15:G16"/>
    <mergeCell ref="A15:A16"/>
    <mergeCell ref="B15:B16"/>
    <mergeCell ref="C15:C16"/>
    <mergeCell ref="D15:D16"/>
    <mergeCell ref="E15:E16"/>
    <mergeCell ref="F15:F16"/>
    <mergeCell ref="A1:I1"/>
    <mergeCell ref="A2:E2"/>
    <mergeCell ref="F2:I2"/>
    <mergeCell ref="A4:A11"/>
    <mergeCell ref="B4:B11"/>
    <mergeCell ref="C4:C11"/>
    <mergeCell ref="D4:D11"/>
    <mergeCell ref="E4:E11"/>
    <mergeCell ref="F4:F11"/>
    <mergeCell ref="G4:G11"/>
    <mergeCell ref="F12:F13"/>
    <mergeCell ref="G12:G13"/>
    <mergeCell ref="A12:A13"/>
    <mergeCell ref="B12:B13"/>
    <mergeCell ref="C12:C13"/>
    <mergeCell ref="D12:D13"/>
    <mergeCell ref="E12:E13"/>
  </mergeCells>
  <phoneticPr fontId="4" type="noConversion"/>
  <printOptions horizontalCentered="1"/>
  <pageMargins left="0.23622047244094491" right="0.23622047244094491" top="0.59055118110236227" bottom="0.74803149606299213" header="0.31496062992125984" footer="0.31496062992125984"/>
  <pageSetup paperSize="9" scale="51" fitToHeight="0" orientation="landscape" r:id="rId1"/>
  <rowBreaks count="1" manualBreakCount="1">
    <brk id="17" max="8"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I45"/>
  <sheetViews>
    <sheetView view="pageBreakPreview" zoomScale="40" zoomScaleNormal="90" zoomScaleSheetLayoutView="40" workbookViewId="0">
      <pane ySplit="3" topLeftCell="A4" activePane="bottomLeft" state="frozen"/>
      <selection pane="bottomLeft" activeCell="I10" sqref="I10"/>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412</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50.1" customHeight="1" x14ac:dyDescent="0.25">
      <c r="A4" s="392">
        <v>1</v>
      </c>
      <c r="B4" s="430">
        <v>44872</v>
      </c>
      <c r="C4" s="688">
        <v>2022110400001</v>
      </c>
      <c r="D4" s="664" t="s">
        <v>44</v>
      </c>
      <c r="E4" s="666" t="s">
        <v>426</v>
      </c>
      <c r="F4" s="383" t="s">
        <v>415</v>
      </c>
      <c r="G4" s="578">
        <v>44876</v>
      </c>
      <c r="H4" s="133" t="s">
        <v>429</v>
      </c>
      <c r="I4" s="134">
        <f>9410*1</f>
        <v>9410</v>
      </c>
    </row>
    <row r="5" spans="1:9" s="10" customFormat="1" ht="60" customHeight="1" x14ac:dyDescent="0.25">
      <c r="A5" s="392"/>
      <c r="B5" s="430"/>
      <c r="C5" s="688"/>
      <c r="D5" s="664"/>
      <c r="E5" s="666"/>
      <c r="F5" s="383"/>
      <c r="G5" s="578"/>
      <c r="H5" s="133" t="s">
        <v>430</v>
      </c>
      <c r="I5" s="134">
        <f>747*1</f>
        <v>747</v>
      </c>
    </row>
    <row r="6" spans="1:9" s="10" customFormat="1" ht="60" customHeight="1" x14ac:dyDescent="0.25">
      <c r="A6" s="392"/>
      <c r="B6" s="430">
        <v>44872</v>
      </c>
      <c r="C6" s="689">
        <v>2022110400002</v>
      </c>
      <c r="D6" s="664" t="s">
        <v>44</v>
      </c>
      <c r="E6" s="666" t="s">
        <v>424</v>
      </c>
      <c r="F6" s="383" t="s">
        <v>427</v>
      </c>
      <c r="G6" s="578">
        <v>44876</v>
      </c>
      <c r="H6" s="133" t="s">
        <v>429</v>
      </c>
      <c r="I6" s="134">
        <f>9410*1</f>
        <v>9410</v>
      </c>
    </row>
    <row r="7" spans="1:9" s="10" customFormat="1" ht="60" customHeight="1" x14ac:dyDescent="0.25">
      <c r="A7" s="392"/>
      <c r="B7" s="430"/>
      <c r="C7" s="689"/>
      <c r="D7" s="664"/>
      <c r="E7" s="666"/>
      <c r="F7" s="383"/>
      <c r="G7" s="578"/>
      <c r="H7" s="133" t="s">
        <v>430</v>
      </c>
      <c r="I7" s="134">
        <f>747*1</f>
        <v>747</v>
      </c>
    </row>
    <row r="8" spans="1:9" s="10" customFormat="1" ht="60" customHeight="1" x14ac:dyDescent="0.25">
      <c r="A8" s="392"/>
      <c r="B8" s="430">
        <v>44872</v>
      </c>
      <c r="C8" s="689">
        <v>2022110400003</v>
      </c>
      <c r="D8" s="664" t="s">
        <v>44</v>
      </c>
      <c r="E8" s="666" t="s">
        <v>425</v>
      </c>
      <c r="F8" s="383" t="s">
        <v>428</v>
      </c>
      <c r="G8" s="578">
        <v>44876</v>
      </c>
      <c r="H8" s="133" t="s">
        <v>429</v>
      </c>
      <c r="I8" s="134">
        <f>9410*1</f>
        <v>9410</v>
      </c>
    </row>
    <row r="9" spans="1:9" s="10" customFormat="1" ht="60" customHeight="1" x14ac:dyDescent="0.25">
      <c r="A9" s="392"/>
      <c r="B9" s="430"/>
      <c r="C9" s="689"/>
      <c r="D9" s="664"/>
      <c r="E9" s="666"/>
      <c r="F9" s="383"/>
      <c r="G9" s="578"/>
      <c r="H9" s="133" t="s">
        <v>430</v>
      </c>
      <c r="I9" s="134">
        <f>747*1</f>
        <v>747</v>
      </c>
    </row>
    <row r="10" spans="1:9" ht="100.2" customHeight="1" x14ac:dyDescent="0.25">
      <c r="A10" s="19">
        <v>2</v>
      </c>
      <c r="B10" s="130">
        <v>44872</v>
      </c>
      <c r="C10" s="111">
        <v>2022110400004</v>
      </c>
      <c r="D10" s="116" t="s">
        <v>44</v>
      </c>
      <c r="E10" s="117" t="s">
        <v>416</v>
      </c>
      <c r="F10" s="81" t="s">
        <v>417</v>
      </c>
      <c r="G10" s="131">
        <v>44876</v>
      </c>
      <c r="H10" s="83" t="s">
        <v>40</v>
      </c>
      <c r="I10" s="41">
        <f>283*1</f>
        <v>283</v>
      </c>
    </row>
    <row r="11" spans="1:9" ht="100.2" customHeight="1" x14ac:dyDescent="0.25">
      <c r="A11" s="19">
        <v>3</v>
      </c>
      <c r="B11" s="130">
        <v>44872</v>
      </c>
      <c r="C11" s="111">
        <v>2022110400006</v>
      </c>
      <c r="D11" s="116" t="s">
        <v>44</v>
      </c>
      <c r="E11" s="117" t="s">
        <v>418</v>
      </c>
      <c r="F11" s="81" t="s">
        <v>419</v>
      </c>
      <c r="G11" s="131">
        <v>44876</v>
      </c>
      <c r="H11" s="83" t="s">
        <v>41</v>
      </c>
      <c r="I11" s="41">
        <f>627*1</f>
        <v>627</v>
      </c>
    </row>
    <row r="12" spans="1:9" ht="49.95" customHeight="1" x14ac:dyDescent="0.25">
      <c r="A12" s="392">
        <v>4</v>
      </c>
      <c r="B12" s="430">
        <v>44872</v>
      </c>
      <c r="C12" s="689">
        <v>2022110400009</v>
      </c>
      <c r="D12" s="664" t="s">
        <v>44</v>
      </c>
      <c r="E12" s="666" t="s">
        <v>420</v>
      </c>
      <c r="F12" s="383" t="s">
        <v>421</v>
      </c>
      <c r="G12" s="578">
        <v>44876</v>
      </c>
      <c r="H12" s="82" t="s">
        <v>413</v>
      </c>
      <c r="I12" s="41">
        <f>47*10</f>
        <v>470</v>
      </c>
    </row>
    <row r="13" spans="1:9" ht="49.95" customHeight="1" x14ac:dyDescent="0.25">
      <c r="A13" s="392"/>
      <c r="B13" s="430"/>
      <c r="C13" s="689"/>
      <c r="D13" s="664"/>
      <c r="E13" s="666"/>
      <c r="F13" s="383"/>
      <c r="G13" s="578"/>
      <c r="H13" s="82" t="s">
        <v>414</v>
      </c>
      <c r="I13" s="41">
        <f>51*5</f>
        <v>255</v>
      </c>
    </row>
    <row r="14" spans="1:9" ht="100.2" customHeight="1" thickBot="1" x14ac:dyDescent="0.3">
      <c r="A14" s="28">
        <v>5</v>
      </c>
      <c r="B14" s="86">
        <v>44883</v>
      </c>
      <c r="C14" s="87">
        <v>2022111800001</v>
      </c>
      <c r="D14" s="123" t="s">
        <v>44</v>
      </c>
      <c r="E14" s="124" t="s">
        <v>422</v>
      </c>
      <c r="F14" s="89" t="s">
        <v>423</v>
      </c>
      <c r="G14" s="132">
        <v>44887</v>
      </c>
      <c r="H14" s="128" t="s">
        <v>409</v>
      </c>
      <c r="I14" s="45">
        <f>471*1</f>
        <v>471</v>
      </c>
    </row>
    <row r="15" spans="1:9" ht="15" customHeight="1" x14ac:dyDescent="0.25">
      <c r="A15" s="2"/>
      <c r="B15" s="2"/>
      <c r="C15" s="2"/>
      <c r="D15" s="129"/>
      <c r="E15" s="2"/>
      <c r="F15" s="54"/>
      <c r="G15" s="3"/>
    </row>
    <row r="16" spans="1:9" ht="15" x14ac:dyDescent="0.25">
      <c r="A16" s="2"/>
      <c r="B16" s="2"/>
      <c r="C16" s="2"/>
      <c r="D16" s="2"/>
      <c r="E16" s="2"/>
      <c r="F16" s="54"/>
      <c r="G16" s="3"/>
    </row>
    <row r="17" spans="1:9" ht="15" x14ac:dyDescent="0.25">
      <c r="A17" s="2"/>
      <c r="B17" s="2"/>
      <c r="C17" s="2"/>
      <c r="D17" s="2"/>
      <c r="E17" s="2"/>
      <c r="F17" s="54"/>
      <c r="G17" s="3"/>
    </row>
    <row r="18" spans="1:9" ht="15" x14ac:dyDescent="0.25">
      <c r="A18" s="2"/>
      <c r="B18" s="2"/>
      <c r="C18" s="2"/>
      <c r="D18" s="2"/>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s="53" customFormat="1" ht="15" x14ac:dyDescent="0.25">
      <c r="A22" s="2"/>
      <c r="B22" s="2"/>
      <c r="C22" s="2"/>
      <c r="D22" s="2"/>
      <c r="E22" s="2"/>
      <c r="F22" s="54"/>
      <c r="G22" s="3"/>
      <c r="I22" s="12"/>
    </row>
    <row r="23" spans="1:9" s="53" customFormat="1" ht="15" x14ac:dyDescent="0.25">
      <c r="A23" s="2"/>
      <c r="B23" s="2"/>
      <c r="C23" s="2"/>
      <c r="D23" s="2"/>
      <c r="E23" s="2"/>
      <c r="F23" s="54"/>
      <c r="G23" s="3"/>
      <c r="I23" s="12"/>
    </row>
    <row r="24" spans="1:9" s="53" customFormat="1" ht="15" x14ac:dyDescent="0.25">
      <c r="A24" s="2"/>
      <c r="B24" s="2"/>
      <c r="C24" s="2"/>
      <c r="D24" s="2"/>
      <c r="E24" s="2"/>
      <c r="F24" s="54"/>
      <c r="G24" s="3"/>
      <c r="I24" s="12"/>
    </row>
    <row r="25" spans="1:9" s="53" customFormat="1" ht="15" x14ac:dyDescent="0.25">
      <c r="A25" s="2"/>
      <c r="B25" s="2"/>
      <c r="C25" s="2"/>
      <c r="D25" s="2"/>
      <c r="E25" s="2"/>
      <c r="F25" s="54"/>
      <c r="G25" s="3"/>
      <c r="I25" s="12"/>
    </row>
    <row r="26" spans="1:9" s="53" customFormat="1" ht="15" x14ac:dyDescent="0.25">
      <c r="A26" s="2"/>
      <c r="B26" s="2"/>
      <c r="C26" s="2"/>
      <c r="D26" s="2"/>
      <c r="E26" s="2"/>
      <c r="F26" s="54"/>
      <c r="G26" s="3"/>
      <c r="I26" s="12"/>
    </row>
    <row r="27" spans="1:9" s="53" customFormat="1" ht="15" x14ac:dyDescent="0.25">
      <c r="A27" s="2"/>
      <c r="B27" s="2"/>
      <c r="C27" s="2"/>
      <c r="D27" s="2"/>
      <c r="E27" s="2"/>
      <c r="F27" s="54"/>
      <c r="G27" s="3"/>
      <c r="I27" s="12"/>
    </row>
    <row r="28" spans="1:9" s="53" customFormat="1" ht="15" x14ac:dyDescent="0.25">
      <c r="A28" s="2"/>
      <c r="B28" s="2"/>
      <c r="C28" s="2"/>
      <c r="D28" s="2"/>
      <c r="E28" s="2"/>
      <c r="F28" s="54"/>
      <c r="G28" s="3"/>
      <c r="I28" s="12"/>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75" customHeight="1" x14ac:dyDescent="0.25">
      <c r="A43" s="2"/>
      <c r="B43" s="2"/>
      <c r="C43" s="2"/>
      <c r="D43" s="2"/>
      <c r="E43" s="2"/>
      <c r="F43" s="54"/>
      <c r="G43" s="3"/>
      <c r="I43" s="12"/>
    </row>
    <row r="44" spans="1:9" s="53" customFormat="1" ht="15.75" customHeight="1" x14ac:dyDescent="0.25">
      <c r="A44" s="2"/>
      <c r="B44" s="2"/>
      <c r="C44" s="2"/>
      <c r="D44" s="2"/>
      <c r="E44" s="2"/>
      <c r="F44" s="54"/>
      <c r="G44" s="3"/>
      <c r="I44" s="12"/>
    </row>
    <row r="45" spans="1:9" ht="15.75" customHeight="1" x14ac:dyDescent="0.25">
      <c r="A45" s="2"/>
      <c r="B45" s="2"/>
      <c r="C45" s="2"/>
      <c r="D45" s="2"/>
      <c r="E45" s="2"/>
      <c r="F45" s="54"/>
      <c r="G45" s="3"/>
    </row>
  </sheetData>
  <autoFilter ref="A3:I3" xr:uid="{00000000-0009-0000-0000-000018000000}"/>
  <mergeCells count="29">
    <mergeCell ref="C6:C7"/>
    <mergeCell ref="F6:F7"/>
    <mergeCell ref="E8:E9"/>
    <mergeCell ref="F8:F9"/>
    <mergeCell ref="G6:G7"/>
    <mergeCell ref="G8:G9"/>
    <mergeCell ref="F12:F13"/>
    <mergeCell ref="G12:G13"/>
    <mergeCell ref="A12:A13"/>
    <mergeCell ref="B12:B13"/>
    <mergeCell ref="C12:C13"/>
    <mergeCell ref="D12:D13"/>
    <mergeCell ref="E12:E13"/>
    <mergeCell ref="A1:I1"/>
    <mergeCell ref="A2:E2"/>
    <mergeCell ref="F2:I2"/>
    <mergeCell ref="D4:D5"/>
    <mergeCell ref="E4:E5"/>
    <mergeCell ref="F4:F5"/>
    <mergeCell ref="G4:G5"/>
    <mergeCell ref="B4:B5"/>
    <mergeCell ref="C4:C5"/>
    <mergeCell ref="A4:A9"/>
    <mergeCell ref="B6:B7"/>
    <mergeCell ref="B8:B9"/>
    <mergeCell ref="C8:C9"/>
    <mergeCell ref="D6:D7"/>
    <mergeCell ref="E6:E7"/>
    <mergeCell ref="D8:D9"/>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rowBreaks count="1" manualBreakCount="1">
    <brk id="14" max="8"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pageSetUpPr fitToPage="1"/>
  </sheetPr>
  <dimension ref="A1:I46"/>
  <sheetViews>
    <sheetView view="pageBreakPreview" zoomScale="40" zoomScaleNormal="90" zoomScaleSheetLayoutView="40" workbookViewId="0">
      <pane ySplit="3" topLeftCell="A4" activePane="bottomLeft" state="frozen"/>
      <selection pane="bottomLeft" activeCell="I7" sqref="I7"/>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392</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70.2" customHeight="1" x14ac:dyDescent="0.25">
      <c r="A4" s="392">
        <v>1</v>
      </c>
      <c r="B4" s="430">
        <v>44832</v>
      </c>
      <c r="C4" s="689">
        <v>2022092800003</v>
      </c>
      <c r="D4" s="690" t="s">
        <v>393</v>
      </c>
      <c r="E4" s="666" t="s">
        <v>394</v>
      </c>
      <c r="F4" s="383" t="s">
        <v>400</v>
      </c>
      <c r="G4" s="578">
        <v>44838</v>
      </c>
      <c r="H4" s="82" t="s">
        <v>404</v>
      </c>
      <c r="I4" s="41">
        <f>213*1</f>
        <v>213</v>
      </c>
    </row>
    <row r="5" spans="1:9" s="10" customFormat="1" ht="70.2" customHeight="1" x14ac:dyDescent="0.25">
      <c r="A5" s="392"/>
      <c r="B5" s="430"/>
      <c r="C5" s="689"/>
      <c r="D5" s="690"/>
      <c r="E5" s="666"/>
      <c r="F5" s="383"/>
      <c r="G5" s="578"/>
      <c r="H5" s="82" t="s">
        <v>405</v>
      </c>
      <c r="I5" s="41">
        <f>86*20</f>
        <v>1720</v>
      </c>
    </row>
    <row r="6" spans="1:9" s="10" customFormat="1" ht="70.2" customHeight="1" x14ac:dyDescent="0.25">
      <c r="A6" s="392"/>
      <c r="B6" s="430"/>
      <c r="C6" s="689"/>
      <c r="D6" s="690"/>
      <c r="E6" s="666"/>
      <c r="F6" s="383"/>
      <c r="G6" s="578"/>
      <c r="H6" s="82" t="s">
        <v>406</v>
      </c>
      <c r="I6" s="41">
        <f>26*20</f>
        <v>520</v>
      </c>
    </row>
    <row r="7" spans="1:9" s="10" customFormat="1" ht="70.2" customHeight="1" x14ac:dyDescent="0.25">
      <c r="A7" s="392">
        <v>2</v>
      </c>
      <c r="B7" s="430">
        <v>44846</v>
      </c>
      <c r="C7" s="689">
        <v>2022101200001</v>
      </c>
      <c r="D7" s="690" t="s">
        <v>395</v>
      </c>
      <c r="E7" s="666" t="s">
        <v>396</v>
      </c>
      <c r="F7" s="383" t="s">
        <v>401</v>
      </c>
      <c r="G7" s="578">
        <v>44851</v>
      </c>
      <c r="H7" s="82" t="s">
        <v>372</v>
      </c>
      <c r="I7" s="41">
        <f>1098*1</f>
        <v>1098</v>
      </c>
    </row>
    <row r="8" spans="1:9" s="10" customFormat="1" ht="70.2" customHeight="1" x14ac:dyDescent="0.25">
      <c r="A8" s="392"/>
      <c r="B8" s="430"/>
      <c r="C8" s="689"/>
      <c r="D8" s="690"/>
      <c r="E8" s="666"/>
      <c r="F8" s="383"/>
      <c r="G8" s="578"/>
      <c r="H8" s="82" t="s">
        <v>407</v>
      </c>
      <c r="I8" s="41">
        <f>196*1</f>
        <v>196</v>
      </c>
    </row>
    <row r="9" spans="1:9" ht="70.2" customHeight="1" x14ac:dyDescent="0.25">
      <c r="A9" s="392">
        <v>3</v>
      </c>
      <c r="B9" s="430">
        <v>44851</v>
      </c>
      <c r="C9" s="689">
        <v>2022101700008</v>
      </c>
      <c r="D9" s="664" t="s">
        <v>397</v>
      </c>
      <c r="E9" s="666" t="s">
        <v>398</v>
      </c>
      <c r="F9" s="383" t="s">
        <v>402</v>
      </c>
      <c r="G9" s="578">
        <v>44853</v>
      </c>
      <c r="H9" s="82" t="s">
        <v>409</v>
      </c>
      <c r="I9" s="41">
        <f>471*1</f>
        <v>471</v>
      </c>
    </row>
    <row r="10" spans="1:9" ht="70.2" customHeight="1" x14ac:dyDescent="0.25">
      <c r="A10" s="392"/>
      <c r="B10" s="430"/>
      <c r="C10" s="689"/>
      <c r="D10" s="664"/>
      <c r="E10" s="666"/>
      <c r="F10" s="383"/>
      <c r="G10" s="578"/>
      <c r="H10" s="82" t="s">
        <v>408</v>
      </c>
      <c r="I10" s="41">
        <f>92*1</f>
        <v>92</v>
      </c>
    </row>
    <row r="11" spans="1:9" ht="70.2" customHeight="1" x14ac:dyDescent="0.25">
      <c r="A11" s="392">
        <v>4</v>
      </c>
      <c r="B11" s="430">
        <v>44858</v>
      </c>
      <c r="C11" s="689">
        <v>2022102100001</v>
      </c>
      <c r="D11" s="664" t="s">
        <v>397</v>
      </c>
      <c r="E11" s="666" t="s">
        <v>399</v>
      </c>
      <c r="F11" s="383" t="s">
        <v>403</v>
      </c>
      <c r="G11" s="578">
        <v>44859</v>
      </c>
      <c r="H11" s="82" t="s">
        <v>410</v>
      </c>
      <c r="I11" s="41">
        <f>314*1</f>
        <v>314</v>
      </c>
    </row>
    <row r="12" spans="1:9" ht="70.2" customHeight="1" thickBot="1" x14ac:dyDescent="0.3">
      <c r="A12" s="594"/>
      <c r="B12" s="685"/>
      <c r="C12" s="687"/>
      <c r="D12" s="669"/>
      <c r="E12" s="668"/>
      <c r="F12" s="433"/>
      <c r="G12" s="583"/>
      <c r="H12" s="128" t="s">
        <v>411</v>
      </c>
      <c r="I12" s="45">
        <f>131*2</f>
        <v>262</v>
      </c>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9" ht="15" x14ac:dyDescent="0.25">
      <c r="A17" s="2"/>
      <c r="B17" s="2"/>
      <c r="C17" s="2"/>
      <c r="D17" s="2"/>
      <c r="E17" s="2"/>
      <c r="F17" s="54"/>
      <c r="G17" s="3"/>
    </row>
    <row r="18" spans="1:9" ht="15" x14ac:dyDescent="0.25">
      <c r="A18" s="2"/>
      <c r="B18" s="2"/>
      <c r="C18" s="2"/>
      <c r="D18" s="2"/>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ht="15" x14ac:dyDescent="0.25">
      <c r="A22" s="2"/>
      <c r="B22" s="2"/>
      <c r="C22" s="2"/>
      <c r="D22" s="2"/>
      <c r="E22" s="2"/>
      <c r="F22" s="54"/>
      <c r="G22" s="3"/>
    </row>
    <row r="23" spans="1:9" ht="15" x14ac:dyDescent="0.25">
      <c r="A23" s="2"/>
      <c r="B23" s="2"/>
      <c r="C23" s="2"/>
      <c r="D23" s="2"/>
      <c r="E23" s="2"/>
      <c r="F23" s="54"/>
      <c r="G23" s="3"/>
    </row>
    <row r="24" spans="1:9" s="53" customFormat="1" ht="15" x14ac:dyDescent="0.25">
      <c r="A24" s="2"/>
      <c r="B24" s="2"/>
      <c r="C24" s="2"/>
      <c r="D24" s="2"/>
      <c r="E24" s="2"/>
      <c r="F24" s="54"/>
      <c r="G24" s="3"/>
      <c r="I24" s="12"/>
    </row>
    <row r="25" spans="1:9" s="53" customFormat="1" ht="15" x14ac:dyDescent="0.25">
      <c r="A25" s="2"/>
      <c r="B25" s="2"/>
      <c r="C25" s="2"/>
      <c r="D25" s="2"/>
      <c r="E25" s="2"/>
      <c r="F25" s="54"/>
      <c r="G25" s="3"/>
      <c r="I25" s="12"/>
    </row>
    <row r="26" spans="1:9" s="53" customFormat="1" ht="15" x14ac:dyDescent="0.25">
      <c r="A26" s="2"/>
      <c r="B26" s="2"/>
      <c r="C26" s="2"/>
      <c r="D26" s="2"/>
      <c r="E26" s="2"/>
      <c r="F26" s="54"/>
      <c r="G26" s="3"/>
      <c r="I26" s="12"/>
    </row>
    <row r="27" spans="1:9" s="53" customFormat="1" ht="15" x14ac:dyDescent="0.25">
      <c r="A27" s="2"/>
      <c r="B27" s="2"/>
      <c r="C27" s="2"/>
      <c r="D27" s="2"/>
      <c r="E27" s="2"/>
      <c r="F27" s="54"/>
      <c r="G27" s="3"/>
      <c r="I27" s="12"/>
    </row>
    <row r="28" spans="1:9" s="53" customFormat="1" ht="15" x14ac:dyDescent="0.25">
      <c r="A28" s="2"/>
      <c r="B28" s="2"/>
      <c r="C28" s="2"/>
      <c r="D28" s="2"/>
      <c r="E28" s="2"/>
      <c r="F28" s="54"/>
      <c r="G28" s="3"/>
      <c r="I28" s="12"/>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75" customHeight="1" x14ac:dyDescent="0.25">
      <c r="A45" s="2"/>
      <c r="B45" s="2"/>
      <c r="C45" s="2"/>
      <c r="D45" s="2"/>
      <c r="E45" s="2"/>
      <c r="F45" s="54"/>
      <c r="G45" s="3"/>
      <c r="I45" s="12"/>
    </row>
    <row r="46" spans="1:9" s="53" customFormat="1" ht="15.75" customHeight="1" x14ac:dyDescent="0.25">
      <c r="A46" s="2"/>
      <c r="B46" s="2"/>
      <c r="C46" s="2"/>
      <c r="D46" s="2"/>
      <c r="E46" s="2"/>
      <c r="F46" s="54"/>
      <c r="G46" s="3"/>
      <c r="I46" s="12"/>
    </row>
  </sheetData>
  <autoFilter ref="A3:I3" xr:uid="{00000000-0009-0000-0000-000019000000}"/>
  <mergeCells count="31">
    <mergeCell ref="A1:I1"/>
    <mergeCell ref="A2:E2"/>
    <mergeCell ref="F2:I2"/>
    <mergeCell ref="A4:A6"/>
    <mergeCell ref="B4:B6"/>
    <mergeCell ref="C4:C6"/>
    <mergeCell ref="D4:D6"/>
    <mergeCell ref="E4:E6"/>
    <mergeCell ref="F4:F6"/>
    <mergeCell ref="G4:G6"/>
    <mergeCell ref="G7:G8"/>
    <mergeCell ref="A9:A10"/>
    <mergeCell ref="B9:B10"/>
    <mergeCell ref="C9:C10"/>
    <mergeCell ref="D9:D10"/>
    <mergeCell ref="E9:E10"/>
    <mergeCell ref="F9:F10"/>
    <mergeCell ref="G9:G10"/>
    <mergeCell ref="A7:A8"/>
    <mergeCell ref="B7:B8"/>
    <mergeCell ref="C7:C8"/>
    <mergeCell ref="D7:D8"/>
    <mergeCell ref="E7:E8"/>
    <mergeCell ref="F7:F8"/>
    <mergeCell ref="G11:G12"/>
    <mergeCell ref="A11:A12"/>
    <mergeCell ref="B11:B12"/>
    <mergeCell ref="C11:C12"/>
    <mergeCell ref="D11:D12"/>
    <mergeCell ref="E11:E12"/>
    <mergeCell ref="F11:F12"/>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I47"/>
  <sheetViews>
    <sheetView view="pageBreakPreview" zoomScale="40" zoomScaleNormal="90" zoomScaleSheetLayoutView="40" workbookViewId="0">
      <pane ySplit="3" topLeftCell="A4" activePane="bottomLeft" state="frozen"/>
      <selection pane="bottomLeft" activeCell="F34" sqref="F34"/>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379</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70.2" customHeight="1" x14ac:dyDescent="0.25">
      <c r="A4" s="392">
        <v>1</v>
      </c>
      <c r="B4" s="416">
        <v>44816</v>
      </c>
      <c r="C4" s="691">
        <v>2022091200003</v>
      </c>
      <c r="D4" s="648" t="s">
        <v>380</v>
      </c>
      <c r="E4" s="491" t="s">
        <v>381</v>
      </c>
      <c r="F4" s="383" t="s">
        <v>385</v>
      </c>
      <c r="G4" s="578">
        <v>44823</v>
      </c>
      <c r="H4" s="82" t="s">
        <v>382</v>
      </c>
      <c r="I4" s="41">
        <f>47*85</f>
        <v>3995</v>
      </c>
    </row>
    <row r="5" spans="1:9" s="10" customFormat="1" ht="70.2" customHeight="1" x14ac:dyDescent="0.25">
      <c r="A5" s="392"/>
      <c r="B5" s="678"/>
      <c r="C5" s="692"/>
      <c r="D5" s="694"/>
      <c r="E5" s="492"/>
      <c r="F5" s="383"/>
      <c r="G5" s="578"/>
      <c r="H5" s="82" t="s">
        <v>383</v>
      </c>
      <c r="I5" s="41">
        <f>51*3</f>
        <v>153</v>
      </c>
    </row>
    <row r="6" spans="1:9" s="10" customFormat="1" ht="70.2" customHeight="1" x14ac:dyDescent="0.25">
      <c r="A6" s="392"/>
      <c r="B6" s="417"/>
      <c r="C6" s="693"/>
      <c r="D6" s="695"/>
      <c r="E6" s="493"/>
      <c r="F6" s="383"/>
      <c r="G6" s="578"/>
      <c r="H6" s="82" t="s">
        <v>384</v>
      </c>
      <c r="I6" s="41">
        <f>471*3</f>
        <v>1413</v>
      </c>
    </row>
    <row r="7" spans="1:9" s="10" customFormat="1" ht="70.2" customHeight="1" x14ac:dyDescent="0.25">
      <c r="A7" s="392">
        <v>2</v>
      </c>
      <c r="B7" s="416">
        <v>44831</v>
      </c>
      <c r="C7" s="691">
        <v>2022092700006</v>
      </c>
      <c r="D7" s="648" t="s">
        <v>386</v>
      </c>
      <c r="E7" s="491" t="s">
        <v>390</v>
      </c>
      <c r="F7" s="383" t="s">
        <v>391</v>
      </c>
      <c r="G7" s="578">
        <v>44834</v>
      </c>
      <c r="H7" s="82" t="s">
        <v>387</v>
      </c>
      <c r="I7" s="41">
        <f>1098*1</f>
        <v>1098</v>
      </c>
    </row>
    <row r="8" spans="1:9" s="10" customFormat="1" ht="70.2" customHeight="1" x14ac:dyDescent="0.25">
      <c r="A8" s="392"/>
      <c r="B8" s="678"/>
      <c r="C8" s="692"/>
      <c r="D8" s="694"/>
      <c r="E8" s="492"/>
      <c r="F8" s="383"/>
      <c r="G8" s="578"/>
      <c r="H8" s="82" t="s">
        <v>388</v>
      </c>
      <c r="I8" s="41">
        <f>136*1</f>
        <v>136</v>
      </c>
    </row>
    <row r="9" spans="1:9" s="10" customFormat="1" ht="70.2" customHeight="1" x14ac:dyDescent="0.25">
      <c r="A9" s="392"/>
      <c r="B9" s="417"/>
      <c r="C9" s="693"/>
      <c r="D9" s="695"/>
      <c r="E9" s="493"/>
      <c r="F9" s="383"/>
      <c r="G9" s="578"/>
      <c r="H9" s="82" t="s">
        <v>389</v>
      </c>
      <c r="I9" s="41">
        <f>141*4</f>
        <v>564</v>
      </c>
    </row>
    <row r="10" spans="1:9" ht="15" x14ac:dyDescent="0.25">
      <c r="A10" s="2"/>
      <c r="B10" s="2"/>
      <c r="C10" s="2"/>
      <c r="D10" s="2"/>
      <c r="E10" s="2"/>
      <c r="F10" s="54"/>
      <c r="G10" s="3"/>
    </row>
    <row r="11" spans="1:9" ht="15" x14ac:dyDescent="0.25">
      <c r="A11" s="2"/>
      <c r="B11" s="2"/>
      <c r="C11" s="2"/>
      <c r="D11" s="2"/>
      <c r="E11" s="2"/>
      <c r="F11" s="54"/>
      <c r="G11" s="3"/>
    </row>
    <row r="12" spans="1:9" ht="15" x14ac:dyDescent="0.25">
      <c r="A12" s="2"/>
      <c r="B12" s="2"/>
      <c r="C12" s="2"/>
      <c r="D12" s="2"/>
      <c r="E12" s="2"/>
      <c r="F12" s="54"/>
      <c r="G12" s="3"/>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9" ht="15" x14ac:dyDescent="0.25">
      <c r="A17" s="2"/>
      <c r="B17" s="2"/>
      <c r="C17" s="2"/>
      <c r="D17" s="2"/>
      <c r="E17" s="2"/>
      <c r="F17" s="54"/>
      <c r="G17" s="3"/>
    </row>
    <row r="18" spans="1:9" ht="15" x14ac:dyDescent="0.25">
      <c r="A18" s="2"/>
      <c r="B18" s="2"/>
      <c r="C18" s="2"/>
      <c r="D18" s="2"/>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ht="15" x14ac:dyDescent="0.25">
      <c r="A22" s="2"/>
      <c r="B22" s="2"/>
      <c r="C22" s="2"/>
      <c r="D22" s="2"/>
      <c r="E22" s="2"/>
      <c r="F22" s="54"/>
      <c r="G22" s="3"/>
    </row>
    <row r="23" spans="1:9" ht="15" x14ac:dyDescent="0.25">
      <c r="A23" s="2"/>
      <c r="B23" s="2"/>
      <c r="C23" s="2"/>
      <c r="D23" s="2"/>
      <c r="E23" s="2"/>
      <c r="F23" s="54"/>
      <c r="G23" s="3"/>
    </row>
    <row r="24" spans="1:9" ht="15" x14ac:dyDescent="0.25">
      <c r="A24" s="2"/>
      <c r="B24" s="2"/>
      <c r="C24" s="2"/>
      <c r="D24" s="2"/>
      <c r="E24" s="2"/>
      <c r="F24" s="54"/>
      <c r="G24" s="3"/>
    </row>
    <row r="25" spans="1:9" s="53" customFormat="1" ht="15" x14ac:dyDescent="0.25">
      <c r="A25" s="2"/>
      <c r="B25" s="2"/>
      <c r="C25" s="2"/>
      <c r="D25" s="2"/>
      <c r="E25" s="2"/>
      <c r="F25" s="54"/>
      <c r="G25" s="3"/>
      <c r="I25" s="12"/>
    </row>
    <row r="26" spans="1:9" s="53" customFormat="1" ht="15" x14ac:dyDescent="0.25">
      <c r="A26" s="2"/>
      <c r="B26" s="2"/>
      <c r="C26" s="2"/>
      <c r="D26" s="2"/>
      <c r="E26" s="2"/>
      <c r="F26" s="54"/>
      <c r="G26" s="3"/>
      <c r="I26" s="12"/>
    </row>
    <row r="27" spans="1:9" s="53" customFormat="1" ht="15" x14ac:dyDescent="0.25">
      <c r="A27" s="2"/>
      <c r="B27" s="2"/>
      <c r="C27" s="2"/>
      <c r="D27" s="2"/>
      <c r="E27" s="2"/>
      <c r="F27" s="54"/>
      <c r="G27" s="3"/>
      <c r="I27" s="12"/>
    </row>
    <row r="28" spans="1:9" s="53" customFormat="1" ht="15" x14ac:dyDescent="0.25">
      <c r="A28" s="2"/>
      <c r="B28" s="2"/>
      <c r="C28" s="2"/>
      <c r="D28" s="2"/>
      <c r="E28" s="2"/>
      <c r="F28" s="54"/>
      <c r="G28" s="3"/>
      <c r="I28" s="12"/>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 x14ac:dyDescent="0.25">
      <c r="A45" s="2"/>
      <c r="B45" s="2"/>
      <c r="C45" s="2"/>
      <c r="D45" s="2"/>
      <c r="E45" s="2"/>
      <c r="F45" s="54"/>
      <c r="G45" s="3"/>
      <c r="I45" s="12"/>
    </row>
    <row r="46" spans="1:9" s="53" customFormat="1" ht="15.75" customHeight="1" x14ac:dyDescent="0.25">
      <c r="A46" s="2"/>
      <c r="B46" s="2"/>
      <c r="C46" s="2"/>
      <c r="D46" s="2"/>
      <c r="E46" s="2"/>
      <c r="F46" s="54"/>
      <c r="G46" s="3"/>
      <c r="I46" s="12"/>
    </row>
    <row r="47" spans="1:9" s="53" customFormat="1" ht="15.75" customHeight="1" x14ac:dyDescent="0.25">
      <c r="A47" s="2"/>
      <c r="B47" s="2"/>
      <c r="C47" s="2"/>
      <c r="D47" s="2"/>
      <c r="E47" s="2"/>
      <c r="F47" s="54"/>
      <c r="G47" s="3"/>
      <c r="I47" s="12"/>
    </row>
  </sheetData>
  <autoFilter ref="A3:I3" xr:uid="{00000000-0009-0000-0000-00001A000000}"/>
  <mergeCells count="17">
    <mergeCell ref="G7:G9"/>
    <mergeCell ref="D4:D6"/>
    <mergeCell ref="C4:C6"/>
    <mergeCell ref="E4:E6"/>
    <mergeCell ref="E7:E9"/>
    <mergeCell ref="A7:A9"/>
    <mergeCell ref="B7:B9"/>
    <mergeCell ref="C7:C9"/>
    <mergeCell ref="D7:D9"/>
    <mergeCell ref="F7:F9"/>
    <mergeCell ref="A1:I1"/>
    <mergeCell ref="A2:E2"/>
    <mergeCell ref="F2:I2"/>
    <mergeCell ref="A4:A6"/>
    <mergeCell ref="F4:F6"/>
    <mergeCell ref="G4:G6"/>
    <mergeCell ref="B4:B6"/>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pageSetUpPr fitToPage="1"/>
  </sheetPr>
  <dimension ref="A1:I50"/>
  <sheetViews>
    <sheetView view="pageBreakPreview" zoomScale="40" zoomScaleNormal="90" zoomScaleSheetLayoutView="40" workbookViewId="0">
      <pane ySplit="3" topLeftCell="A4" activePane="bottomLeft" state="frozen"/>
      <selection pane="bottomLeft" activeCell="H11" sqref="H11:I11"/>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362</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94.95" customHeight="1" x14ac:dyDescent="0.25">
      <c r="A4" s="110">
        <v>1</v>
      </c>
      <c r="B4" s="127">
        <v>44768</v>
      </c>
      <c r="C4" s="111">
        <v>2022072600002</v>
      </c>
      <c r="D4" s="112" t="s">
        <v>363</v>
      </c>
      <c r="E4" s="81" t="s">
        <v>364</v>
      </c>
      <c r="F4" s="81" t="s">
        <v>365</v>
      </c>
      <c r="G4" s="113">
        <v>44788</v>
      </c>
      <c r="H4" s="83" t="s">
        <v>366</v>
      </c>
      <c r="I4" s="41">
        <v>191194</v>
      </c>
    </row>
    <row r="5" spans="1:9" s="10" customFormat="1" ht="70.2" customHeight="1" x14ac:dyDescent="0.25">
      <c r="A5" s="392">
        <v>2</v>
      </c>
      <c r="B5" s="430">
        <v>44788</v>
      </c>
      <c r="C5" s="689">
        <v>2022081200002</v>
      </c>
      <c r="D5" s="645" t="s">
        <v>136</v>
      </c>
      <c r="E5" s="491" t="s">
        <v>367</v>
      </c>
      <c r="F5" s="383" t="s">
        <v>378</v>
      </c>
      <c r="G5" s="578">
        <v>44792</v>
      </c>
      <c r="H5" s="82" t="s">
        <v>377</v>
      </c>
      <c r="I5" s="41">
        <f>47*516</f>
        <v>24252</v>
      </c>
    </row>
    <row r="6" spans="1:9" s="10" customFormat="1" ht="70.2" customHeight="1" x14ac:dyDescent="0.25">
      <c r="A6" s="392"/>
      <c r="B6" s="430"/>
      <c r="C6" s="689"/>
      <c r="D6" s="645"/>
      <c r="E6" s="492"/>
      <c r="F6" s="383"/>
      <c r="G6" s="578"/>
      <c r="H6" s="82" t="s">
        <v>368</v>
      </c>
      <c r="I6" s="41">
        <f>51*20</f>
        <v>1020</v>
      </c>
    </row>
    <row r="7" spans="1:9" s="10" customFormat="1" ht="70.2" customHeight="1" x14ac:dyDescent="0.25">
      <c r="A7" s="392"/>
      <c r="B7" s="430"/>
      <c r="C7" s="689"/>
      <c r="D7" s="645"/>
      <c r="E7" s="492"/>
      <c r="F7" s="383"/>
      <c r="G7" s="578"/>
      <c r="H7" s="82" t="s">
        <v>369</v>
      </c>
      <c r="I7" s="41">
        <f>471*7</f>
        <v>3297</v>
      </c>
    </row>
    <row r="8" spans="1:9" s="10" customFormat="1" ht="70.2" customHeight="1" x14ac:dyDescent="0.25">
      <c r="A8" s="392"/>
      <c r="B8" s="430"/>
      <c r="C8" s="689"/>
      <c r="D8" s="645"/>
      <c r="E8" s="492"/>
      <c r="F8" s="383"/>
      <c r="G8" s="578"/>
      <c r="H8" s="83" t="s">
        <v>370</v>
      </c>
      <c r="I8" s="41">
        <f>9410*3</f>
        <v>28230</v>
      </c>
    </row>
    <row r="9" spans="1:9" s="10" customFormat="1" ht="70.2" customHeight="1" x14ac:dyDescent="0.25">
      <c r="A9" s="392"/>
      <c r="B9" s="430"/>
      <c r="C9" s="689"/>
      <c r="D9" s="645"/>
      <c r="E9" s="492"/>
      <c r="F9" s="383"/>
      <c r="G9" s="578"/>
      <c r="H9" s="83" t="s">
        <v>371</v>
      </c>
      <c r="I9" s="41">
        <f>747*3</f>
        <v>2241</v>
      </c>
    </row>
    <row r="10" spans="1:9" s="10" customFormat="1" ht="70.2" customHeight="1" x14ac:dyDescent="0.25">
      <c r="A10" s="392"/>
      <c r="B10" s="430"/>
      <c r="C10" s="689"/>
      <c r="D10" s="645"/>
      <c r="E10" s="492"/>
      <c r="F10" s="383"/>
      <c r="G10" s="578"/>
      <c r="H10" s="83" t="s">
        <v>372</v>
      </c>
      <c r="I10" s="41">
        <f>1098*1</f>
        <v>1098</v>
      </c>
    </row>
    <row r="11" spans="1:9" s="10" customFormat="1" ht="70.2" customHeight="1" x14ac:dyDescent="0.25">
      <c r="A11" s="392"/>
      <c r="B11" s="430"/>
      <c r="C11" s="689"/>
      <c r="D11" s="645"/>
      <c r="E11" s="493"/>
      <c r="F11" s="383"/>
      <c r="G11" s="578"/>
      <c r="H11" s="83" t="s">
        <v>373</v>
      </c>
      <c r="I11" s="41">
        <f>283*1</f>
        <v>283</v>
      </c>
    </row>
    <row r="12" spans="1:9" s="10" customFormat="1" ht="100.2" customHeight="1" thickBot="1" x14ac:dyDescent="0.3">
      <c r="A12" s="120" t="s">
        <v>339</v>
      </c>
      <c r="B12" s="121">
        <v>44789</v>
      </c>
      <c r="C12" s="126">
        <v>2022081600002</v>
      </c>
      <c r="D12" s="88" t="s">
        <v>263</v>
      </c>
      <c r="E12" s="89" t="s">
        <v>374</v>
      </c>
      <c r="F12" s="89" t="s">
        <v>375</v>
      </c>
      <c r="G12" s="125">
        <v>44797</v>
      </c>
      <c r="H12" s="85" t="s">
        <v>376</v>
      </c>
      <c r="I12" s="52">
        <f>1699*1</f>
        <v>1699</v>
      </c>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9" ht="15" x14ac:dyDescent="0.25">
      <c r="A17" s="2"/>
      <c r="B17" s="2"/>
      <c r="C17" s="2"/>
      <c r="D17" s="2"/>
      <c r="E17" s="2"/>
      <c r="F17" s="54"/>
      <c r="G17" s="3"/>
    </row>
    <row r="18" spans="1:9" ht="15" x14ac:dyDescent="0.25">
      <c r="A18" s="2"/>
      <c r="B18" s="2"/>
      <c r="C18" s="2"/>
      <c r="D18" s="2"/>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ht="15" x14ac:dyDescent="0.25">
      <c r="A22" s="2"/>
      <c r="B22" s="2"/>
      <c r="C22" s="2"/>
      <c r="D22" s="2"/>
      <c r="E22" s="2"/>
      <c r="F22" s="54"/>
      <c r="G22" s="3"/>
    </row>
    <row r="23" spans="1:9" ht="15" x14ac:dyDescent="0.25">
      <c r="A23" s="2"/>
      <c r="B23" s="2"/>
      <c r="C23" s="2"/>
      <c r="D23" s="2"/>
      <c r="E23" s="2"/>
      <c r="F23" s="54"/>
      <c r="G23" s="3"/>
    </row>
    <row r="24" spans="1:9" ht="15" x14ac:dyDescent="0.25">
      <c r="A24" s="2"/>
      <c r="B24" s="2"/>
      <c r="C24" s="2"/>
      <c r="D24" s="2"/>
      <c r="E24" s="2"/>
      <c r="F24" s="54"/>
      <c r="G24" s="3"/>
    </row>
    <row r="25" spans="1:9" ht="15" x14ac:dyDescent="0.25">
      <c r="A25" s="2"/>
      <c r="B25" s="2"/>
      <c r="C25" s="2"/>
      <c r="D25" s="2"/>
      <c r="E25" s="2"/>
      <c r="F25" s="54"/>
      <c r="G25" s="3"/>
    </row>
    <row r="26" spans="1:9" ht="15" x14ac:dyDescent="0.25">
      <c r="A26" s="2"/>
      <c r="B26" s="2"/>
      <c r="C26" s="2"/>
      <c r="D26" s="2"/>
      <c r="E26" s="2"/>
      <c r="F26" s="54"/>
      <c r="G26" s="3"/>
    </row>
    <row r="27" spans="1:9" ht="15" x14ac:dyDescent="0.25">
      <c r="A27" s="2"/>
      <c r="B27" s="2"/>
      <c r="C27" s="2"/>
      <c r="D27" s="2"/>
      <c r="E27" s="2"/>
      <c r="F27" s="54"/>
      <c r="G27" s="3"/>
    </row>
    <row r="28" spans="1:9" s="53" customFormat="1" ht="15" x14ac:dyDescent="0.25">
      <c r="A28" s="2"/>
      <c r="B28" s="2"/>
      <c r="C28" s="2"/>
      <c r="D28" s="2"/>
      <c r="E28" s="2"/>
      <c r="F28" s="54"/>
      <c r="G28" s="3"/>
      <c r="I28" s="12"/>
    </row>
    <row r="29" spans="1:9" s="53" customFormat="1" ht="15" x14ac:dyDescent="0.25">
      <c r="A29" s="2"/>
      <c r="B29" s="2"/>
      <c r="C29" s="2"/>
      <c r="D29" s="2"/>
      <c r="E29" s="2"/>
      <c r="F29" s="54"/>
      <c r="G29" s="3"/>
      <c r="I29" s="12"/>
    </row>
    <row r="30" spans="1:9" s="53" customFormat="1" ht="15" x14ac:dyDescent="0.25">
      <c r="A30" s="2"/>
      <c r="B30" s="2"/>
      <c r="C30" s="2"/>
      <c r="D30" s="2"/>
      <c r="E30" s="2"/>
      <c r="F30" s="54"/>
      <c r="G30" s="3"/>
      <c r="I30" s="12"/>
    </row>
    <row r="31" spans="1:9" s="53" customFormat="1" ht="15" x14ac:dyDescent="0.25">
      <c r="A31" s="2"/>
      <c r="B31" s="2"/>
      <c r="C31" s="2"/>
      <c r="D31" s="2"/>
      <c r="E31" s="2"/>
      <c r="F31" s="54"/>
      <c r="G31" s="3"/>
      <c r="I31" s="12"/>
    </row>
    <row r="32" spans="1:9" s="53" customFormat="1" ht="15" x14ac:dyDescent="0.25">
      <c r="A32" s="2"/>
      <c r="B32" s="2"/>
      <c r="C32" s="2"/>
      <c r="D32" s="2"/>
      <c r="E32" s="2"/>
      <c r="F32" s="54"/>
      <c r="G32" s="3"/>
      <c r="I32" s="12"/>
    </row>
    <row r="33" spans="1:9" s="53" customFormat="1" ht="15" x14ac:dyDescent="0.25">
      <c r="A33" s="2"/>
      <c r="B33" s="2"/>
      <c r="C33" s="2"/>
      <c r="D33" s="2"/>
      <c r="E33" s="2"/>
      <c r="F33" s="54"/>
      <c r="G33" s="3"/>
      <c r="I33" s="12"/>
    </row>
    <row r="34" spans="1:9" s="53" customFormat="1" ht="15" x14ac:dyDescent="0.25">
      <c r="A34" s="2"/>
      <c r="B34" s="2"/>
      <c r="C34" s="2"/>
      <c r="D34" s="2"/>
      <c r="E34" s="2"/>
      <c r="F34" s="54"/>
      <c r="G34" s="3"/>
      <c r="I34" s="12"/>
    </row>
    <row r="35" spans="1:9" s="53" customFormat="1" ht="15" x14ac:dyDescent="0.25">
      <c r="A35" s="2"/>
      <c r="B35" s="2"/>
      <c r="C35" s="2"/>
      <c r="D35" s="2"/>
      <c r="E35" s="2"/>
      <c r="F35" s="54"/>
      <c r="G35" s="3"/>
      <c r="I35" s="12"/>
    </row>
    <row r="36" spans="1:9" s="53" customFormat="1" ht="15" x14ac:dyDescent="0.25">
      <c r="A36" s="2"/>
      <c r="B36" s="2"/>
      <c r="C36" s="2"/>
      <c r="D36" s="2"/>
      <c r="E36" s="2"/>
      <c r="F36" s="54"/>
      <c r="G36" s="3"/>
      <c r="I36" s="12"/>
    </row>
    <row r="37" spans="1:9" s="53" customFormat="1" ht="15" x14ac:dyDescent="0.25">
      <c r="A37" s="2"/>
      <c r="B37" s="2"/>
      <c r="C37" s="2"/>
      <c r="D37" s="2"/>
      <c r="E37" s="2"/>
      <c r="F37" s="54"/>
      <c r="G37" s="3"/>
      <c r="I37" s="12"/>
    </row>
    <row r="38" spans="1:9" s="53" customFormat="1" ht="15" x14ac:dyDescent="0.25">
      <c r="A38" s="2"/>
      <c r="B38" s="2"/>
      <c r="C38" s="2"/>
      <c r="D38" s="2"/>
      <c r="E38" s="2"/>
      <c r="F38" s="54"/>
      <c r="G38" s="3"/>
      <c r="I38" s="12"/>
    </row>
    <row r="39" spans="1:9" s="53" customFormat="1" ht="15" x14ac:dyDescent="0.25">
      <c r="A39" s="2"/>
      <c r="B39" s="2"/>
      <c r="C39" s="2"/>
      <c r="D39" s="2"/>
      <c r="E39" s="2"/>
      <c r="F39" s="54"/>
      <c r="G39" s="3"/>
      <c r="I39" s="12"/>
    </row>
    <row r="40" spans="1:9" s="53" customFormat="1" ht="15" x14ac:dyDescent="0.25">
      <c r="A40" s="2"/>
      <c r="B40" s="2"/>
      <c r="C40" s="2"/>
      <c r="D40" s="2"/>
      <c r="E40" s="2"/>
      <c r="F40" s="54"/>
      <c r="G40" s="3"/>
      <c r="I40" s="12"/>
    </row>
    <row r="41" spans="1:9" s="53" customFormat="1" ht="15" x14ac:dyDescent="0.25">
      <c r="A41" s="2"/>
      <c r="B41" s="2"/>
      <c r="C41" s="2"/>
      <c r="D41" s="2"/>
      <c r="E41" s="2"/>
      <c r="F41" s="54"/>
      <c r="G41" s="3"/>
      <c r="I41" s="12"/>
    </row>
    <row r="42" spans="1:9" s="53" customFormat="1" ht="15" x14ac:dyDescent="0.25">
      <c r="A42" s="2"/>
      <c r="B42" s="2"/>
      <c r="C42" s="2"/>
      <c r="D42" s="2"/>
      <c r="E42" s="2"/>
      <c r="F42" s="54"/>
      <c r="G42" s="3"/>
      <c r="I42" s="12"/>
    </row>
    <row r="43" spans="1:9" s="53" customFormat="1" ht="15" x14ac:dyDescent="0.25">
      <c r="A43" s="2"/>
      <c r="B43" s="2"/>
      <c r="C43" s="2"/>
      <c r="D43" s="2"/>
      <c r="E43" s="2"/>
      <c r="F43" s="54"/>
      <c r="G43" s="3"/>
      <c r="I43" s="12"/>
    </row>
    <row r="44" spans="1:9" s="53" customFormat="1" ht="15" x14ac:dyDescent="0.25">
      <c r="A44" s="2"/>
      <c r="B44" s="2"/>
      <c r="C44" s="2"/>
      <c r="D44" s="2"/>
      <c r="E44" s="2"/>
      <c r="F44" s="54"/>
      <c r="G44" s="3"/>
      <c r="I44" s="12"/>
    </row>
    <row r="45" spans="1:9" s="53" customFormat="1" ht="15" x14ac:dyDescent="0.25">
      <c r="A45" s="2"/>
      <c r="B45" s="2"/>
      <c r="C45" s="2"/>
      <c r="D45" s="2"/>
      <c r="E45" s="2"/>
      <c r="F45" s="54"/>
      <c r="G45" s="3"/>
      <c r="I45" s="12"/>
    </row>
    <row r="46" spans="1:9" s="53" customFormat="1" ht="15" x14ac:dyDescent="0.25">
      <c r="A46" s="2"/>
      <c r="B46" s="2"/>
      <c r="C46" s="2"/>
      <c r="D46" s="2"/>
      <c r="E46" s="2"/>
      <c r="F46" s="54"/>
      <c r="G46" s="3"/>
      <c r="I46" s="12"/>
    </row>
    <row r="47" spans="1:9" s="53" customFormat="1" ht="15" x14ac:dyDescent="0.25">
      <c r="A47" s="2"/>
      <c r="B47" s="2"/>
      <c r="C47" s="2"/>
      <c r="D47" s="2"/>
      <c r="E47" s="2"/>
      <c r="F47" s="54"/>
      <c r="G47" s="3"/>
      <c r="I47" s="12"/>
    </row>
    <row r="48" spans="1:9" s="53" customFormat="1" ht="15" x14ac:dyDescent="0.25">
      <c r="A48" s="2"/>
      <c r="B48" s="2"/>
      <c r="C48" s="2"/>
      <c r="D48" s="2"/>
      <c r="E48" s="2"/>
      <c r="F48" s="54"/>
      <c r="G48" s="3"/>
      <c r="I48" s="12"/>
    </row>
    <row r="49" spans="1:9" s="53" customFormat="1" ht="15.75" customHeight="1" x14ac:dyDescent="0.25">
      <c r="A49" s="2"/>
      <c r="B49" s="2"/>
      <c r="C49" s="2"/>
      <c r="D49" s="2"/>
      <c r="E49" s="2"/>
      <c r="F49" s="54"/>
      <c r="G49" s="3"/>
      <c r="I49" s="12"/>
    </row>
    <row r="50" spans="1:9" s="53" customFormat="1" ht="15.75" customHeight="1" x14ac:dyDescent="0.25">
      <c r="A50" s="2"/>
      <c r="B50" s="2"/>
      <c r="C50" s="2"/>
      <c r="D50" s="2"/>
      <c r="E50" s="2"/>
      <c r="F50" s="54"/>
      <c r="G50" s="3"/>
      <c r="I50" s="12"/>
    </row>
  </sheetData>
  <autoFilter ref="A3:I3" xr:uid="{00000000-0009-0000-0000-00001B000000}"/>
  <mergeCells count="10">
    <mergeCell ref="A1:I1"/>
    <mergeCell ref="A2:E2"/>
    <mergeCell ref="F2:I2"/>
    <mergeCell ref="G5:G11"/>
    <mergeCell ref="A5:A11"/>
    <mergeCell ref="B5:B11"/>
    <mergeCell ref="C5:C11"/>
    <mergeCell ref="D5:D11"/>
    <mergeCell ref="E5:E11"/>
    <mergeCell ref="F5:F11"/>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pageSetUpPr fitToPage="1"/>
  </sheetPr>
  <dimension ref="A1:I55"/>
  <sheetViews>
    <sheetView view="pageBreakPreview" topLeftCell="D1" zoomScale="55" zoomScaleNormal="90" zoomScaleSheetLayoutView="55" workbookViewId="0">
      <pane ySplit="3" topLeftCell="A4" activePane="bottomLeft" state="frozen"/>
      <selection pane="bottomLeft" activeCell="H8" sqref="H8:I8"/>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style="53"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338</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49.95" customHeight="1" x14ac:dyDescent="0.25">
      <c r="A4" s="696">
        <v>1</v>
      </c>
      <c r="B4" s="430">
        <v>44743</v>
      </c>
      <c r="C4" s="689">
        <v>2022062700005</v>
      </c>
      <c r="D4" s="645" t="s">
        <v>136</v>
      </c>
      <c r="E4" s="383" t="s">
        <v>343</v>
      </c>
      <c r="F4" s="383" t="s">
        <v>349</v>
      </c>
      <c r="G4" s="697">
        <v>44755</v>
      </c>
      <c r="H4" s="83" t="s">
        <v>335</v>
      </c>
      <c r="I4" s="41">
        <f>9410</f>
        <v>9410</v>
      </c>
    </row>
    <row r="5" spans="1:9" s="10" customFormat="1" ht="49.95" customHeight="1" x14ac:dyDescent="0.25">
      <c r="A5" s="696"/>
      <c r="B5" s="430"/>
      <c r="C5" s="689"/>
      <c r="D5" s="645"/>
      <c r="E5" s="383"/>
      <c r="F5" s="383"/>
      <c r="G5" s="697"/>
      <c r="H5" s="83" t="s">
        <v>336</v>
      </c>
      <c r="I5" s="41">
        <f>747</f>
        <v>747</v>
      </c>
    </row>
    <row r="6" spans="1:9" s="10" customFormat="1" ht="49.95" customHeight="1" x14ac:dyDescent="0.25">
      <c r="A6" s="392">
        <v>2</v>
      </c>
      <c r="B6" s="430">
        <v>44746</v>
      </c>
      <c r="C6" s="689">
        <v>2022070400001</v>
      </c>
      <c r="D6" s="645" t="s">
        <v>341</v>
      </c>
      <c r="E6" s="383" t="s">
        <v>342</v>
      </c>
      <c r="F6" s="383" t="s">
        <v>350</v>
      </c>
      <c r="G6" s="578">
        <v>44750</v>
      </c>
      <c r="H6" s="83" t="s">
        <v>354</v>
      </c>
      <c r="I6" s="41">
        <f>627*2</f>
        <v>1254</v>
      </c>
    </row>
    <row r="7" spans="1:9" s="10" customFormat="1" ht="49.95" customHeight="1" x14ac:dyDescent="0.25">
      <c r="A7" s="392"/>
      <c r="B7" s="430"/>
      <c r="C7" s="689"/>
      <c r="D7" s="645"/>
      <c r="E7" s="383"/>
      <c r="F7" s="383"/>
      <c r="G7" s="578"/>
      <c r="H7" s="83" t="s">
        <v>355</v>
      </c>
      <c r="I7" s="41">
        <v>106</v>
      </c>
    </row>
    <row r="8" spans="1:9" s="10" customFormat="1" ht="49.95" customHeight="1" x14ac:dyDescent="0.25">
      <c r="A8" s="392"/>
      <c r="B8" s="430"/>
      <c r="C8" s="689"/>
      <c r="D8" s="645"/>
      <c r="E8" s="383"/>
      <c r="F8" s="383"/>
      <c r="G8" s="578"/>
      <c r="H8" s="83" t="s">
        <v>356</v>
      </c>
      <c r="I8" s="41">
        <v>549</v>
      </c>
    </row>
    <row r="9" spans="1:9" s="10" customFormat="1" ht="49.95" customHeight="1" x14ac:dyDescent="0.25">
      <c r="A9" s="392"/>
      <c r="B9" s="430"/>
      <c r="C9" s="689"/>
      <c r="D9" s="645"/>
      <c r="E9" s="383"/>
      <c r="F9" s="383"/>
      <c r="G9" s="578"/>
      <c r="H9" s="83" t="s">
        <v>357</v>
      </c>
      <c r="I9" s="41">
        <v>565</v>
      </c>
    </row>
    <row r="10" spans="1:9" s="10" customFormat="1" ht="100.2" customHeight="1" x14ac:dyDescent="0.25">
      <c r="A10" s="119" t="s">
        <v>339</v>
      </c>
      <c r="B10" s="114">
        <v>44749</v>
      </c>
      <c r="C10" s="115">
        <v>2022070800002</v>
      </c>
      <c r="D10" s="116" t="s">
        <v>136</v>
      </c>
      <c r="E10" s="117" t="s">
        <v>344</v>
      </c>
      <c r="F10" s="117" t="s">
        <v>351</v>
      </c>
      <c r="G10" s="118">
        <v>44753</v>
      </c>
      <c r="H10" s="83" t="s">
        <v>359</v>
      </c>
      <c r="I10" s="42">
        <v>314</v>
      </c>
    </row>
    <row r="11" spans="1:9" s="10" customFormat="1" ht="49.95" customHeight="1" x14ac:dyDescent="0.25">
      <c r="A11" s="392">
        <v>4</v>
      </c>
      <c r="B11" s="430">
        <v>44753</v>
      </c>
      <c r="C11" s="689">
        <v>2022071100004</v>
      </c>
      <c r="D11" s="645" t="s">
        <v>136</v>
      </c>
      <c r="E11" s="383" t="s">
        <v>345</v>
      </c>
      <c r="F11" s="383" t="s">
        <v>352</v>
      </c>
      <c r="G11" s="578">
        <v>44756</v>
      </c>
      <c r="H11" s="83" t="s">
        <v>360</v>
      </c>
      <c r="I11" s="41">
        <f>9410</f>
        <v>9410</v>
      </c>
    </row>
    <row r="12" spans="1:9" s="10" customFormat="1" ht="49.95" customHeight="1" x14ac:dyDescent="0.25">
      <c r="A12" s="392"/>
      <c r="B12" s="430"/>
      <c r="C12" s="689"/>
      <c r="D12" s="645"/>
      <c r="E12" s="383"/>
      <c r="F12" s="383"/>
      <c r="G12" s="578"/>
      <c r="H12" s="83" t="s">
        <v>336</v>
      </c>
      <c r="I12" s="41">
        <f>747</f>
        <v>747</v>
      </c>
    </row>
    <row r="13" spans="1:9" s="10" customFormat="1" ht="49.95" customHeight="1" x14ac:dyDescent="0.25">
      <c r="A13" s="392">
        <v>5</v>
      </c>
      <c r="B13" s="430">
        <v>44753</v>
      </c>
      <c r="C13" s="689">
        <v>2022071100005</v>
      </c>
      <c r="D13" s="645" t="s">
        <v>136</v>
      </c>
      <c r="E13" s="383" t="s">
        <v>346</v>
      </c>
      <c r="F13" s="383" t="s">
        <v>352</v>
      </c>
      <c r="G13" s="578">
        <v>44755</v>
      </c>
      <c r="H13" s="83" t="s">
        <v>335</v>
      </c>
      <c r="I13" s="41">
        <f>9410</f>
        <v>9410</v>
      </c>
    </row>
    <row r="14" spans="1:9" s="10" customFormat="1" ht="49.95" customHeight="1" x14ac:dyDescent="0.25">
      <c r="A14" s="392"/>
      <c r="B14" s="430"/>
      <c r="C14" s="689"/>
      <c r="D14" s="645"/>
      <c r="E14" s="383"/>
      <c r="F14" s="383"/>
      <c r="G14" s="578"/>
      <c r="H14" s="83" t="s">
        <v>336</v>
      </c>
      <c r="I14" s="41">
        <f>747</f>
        <v>747</v>
      </c>
    </row>
    <row r="15" spans="1:9" ht="49.95" customHeight="1" x14ac:dyDescent="0.25">
      <c r="A15" s="392">
        <v>6</v>
      </c>
      <c r="B15" s="430">
        <v>44755</v>
      </c>
      <c r="C15" s="689">
        <v>2022071300001</v>
      </c>
      <c r="D15" s="645" t="s">
        <v>136</v>
      </c>
      <c r="E15" s="383" t="s">
        <v>347</v>
      </c>
      <c r="F15" s="383" t="s">
        <v>353</v>
      </c>
      <c r="G15" s="578">
        <v>44760</v>
      </c>
      <c r="H15" s="83" t="s">
        <v>335</v>
      </c>
      <c r="I15" s="41">
        <f>9410</f>
        <v>9410</v>
      </c>
    </row>
    <row r="16" spans="1:9" ht="49.95" customHeight="1" x14ac:dyDescent="0.25">
      <c r="A16" s="392"/>
      <c r="B16" s="430"/>
      <c r="C16" s="689"/>
      <c r="D16" s="645"/>
      <c r="E16" s="383"/>
      <c r="F16" s="383"/>
      <c r="G16" s="578"/>
      <c r="H16" s="83" t="s">
        <v>336</v>
      </c>
      <c r="I16" s="41">
        <f>747</f>
        <v>747</v>
      </c>
    </row>
    <row r="17" spans="1:9" ht="100.2" customHeight="1" thickBot="1" x14ac:dyDescent="0.3">
      <c r="A17" s="120" t="s">
        <v>340</v>
      </c>
      <c r="B17" s="121">
        <v>44755</v>
      </c>
      <c r="C17" s="122">
        <v>2022071300004</v>
      </c>
      <c r="D17" s="123" t="s">
        <v>136</v>
      </c>
      <c r="E17" s="124" t="s">
        <v>348</v>
      </c>
      <c r="F17" s="124" t="s">
        <v>358</v>
      </c>
      <c r="G17" s="125">
        <v>44757</v>
      </c>
      <c r="H17" s="85" t="s">
        <v>361</v>
      </c>
      <c r="I17" s="52">
        <f>131*2</f>
        <v>262</v>
      </c>
    </row>
    <row r="18" spans="1:9" ht="15" x14ac:dyDescent="0.25">
      <c r="A18" s="2"/>
      <c r="B18" s="2"/>
      <c r="C18" s="2"/>
      <c r="D18" s="2"/>
      <c r="E18" s="2"/>
      <c r="F18" s="54"/>
      <c r="G18" s="3"/>
    </row>
    <row r="19" spans="1:9" ht="15" x14ac:dyDescent="0.25">
      <c r="A19" s="2"/>
      <c r="B19" s="2"/>
      <c r="C19" s="2"/>
      <c r="D19" s="2"/>
      <c r="E19" s="2"/>
      <c r="F19" s="54"/>
      <c r="G19" s="3"/>
    </row>
    <row r="20" spans="1:9" ht="15" x14ac:dyDescent="0.25">
      <c r="A20" s="2"/>
      <c r="B20" s="2"/>
      <c r="C20" s="2"/>
      <c r="D20" s="2"/>
      <c r="E20" s="2"/>
      <c r="F20" s="54"/>
      <c r="G20" s="3"/>
    </row>
    <row r="21" spans="1:9" ht="15" x14ac:dyDescent="0.25">
      <c r="A21" s="2"/>
      <c r="B21" s="2"/>
      <c r="C21" s="2"/>
      <c r="D21" s="2"/>
      <c r="E21" s="2"/>
      <c r="F21" s="54"/>
      <c r="G21" s="3"/>
    </row>
    <row r="22" spans="1:9" ht="15" x14ac:dyDescent="0.25">
      <c r="A22" s="2"/>
      <c r="B22" s="2"/>
      <c r="C22" s="2"/>
      <c r="D22" s="2"/>
      <c r="E22" s="2"/>
      <c r="F22" s="54"/>
      <c r="G22" s="3"/>
    </row>
    <row r="23" spans="1:9" ht="15" x14ac:dyDescent="0.25">
      <c r="A23" s="2"/>
      <c r="B23" s="2"/>
      <c r="C23" s="2"/>
      <c r="D23" s="2"/>
      <c r="E23" s="2"/>
      <c r="F23" s="54"/>
      <c r="G23" s="3"/>
    </row>
    <row r="24" spans="1:9" ht="15" x14ac:dyDescent="0.25">
      <c r="A24" s="2"/>
      <c r="B24" s="2"/>
      <c r="C24" s="2"/>
      <c r="D24" s="2"/>
      <c r="E24" s="2"/>
      <c r="F24" s="54"/>
      <c r="G24" s="3"/>
    </row>
    <row r="25" spans="1:9" ht="15" x14ac:dyDescent="0.25">
      <c r="A25" s="2"/>
      <c r="B25" s="2"/>
      <c r="C25" s="2"/>
      <c r="D25" s="2"/>
      <c r="E25" s="2"/>
      <c r="F25" s="54"/>
      <c r="G25" s="3"/>
    </row>
    <row r="26" spans="1:9" ht="15" x14ac:dyDescent="0.25">
      <c r="A26" s="2"/>
      <c r="B26" s="2"/>
      <c r="C26" s="2"/>
      <c r="D26" s="2"/>
      <c r="E26" s="2"/>
      <c r="F26" s="54"/>
      <c r="G26" s="3"/>
    </row>
    <row r="27" spans="1:9" ht="15" x14ac:dyDescent="0.25">
      <c r="A27" s="2"/>
      <c r="B27" s="2"/>
      <c r="C27" s="2"/>
      <c r="D27" s="2"/>
      <c r="E27" s="2"/>
      <c r="F27" s="54"/>
      <c r="G27" s="3"/>
    </row>
    <row r="28" spans="1:9" ht="15" x14ac:dyDescent="0.25">
      <c r="A28" s="2"/>
      <c r="B28" s="2"/>
      <c r="C28" s="2"/>
      <c r="D28" s="2"/>
      <c r="E28" s="2"/>
      <c r="F28" s="54"/>
      <c r="G28" s="3"/>
    </row>
    <row r="29" spans="1:9" ht="15" x14ac:dyDescent="0.25">
      <c r="A29" s="2"/>
      <c r="B29" s="2"/>
      <c r="C29" s="2"/>
      <c r="D29" s="2"/>
      <c r="E29" s="2"/>
      <c r="F29" s="54"/>
      <c r="G29" s="3"/>
    </row>
    <row r="30" spans="1:9" ht="15" x14ac:dyDescent="0.25">
      <c r="A30" s="2"/>
      <c r="B30" s="2"/>
      <c r="C30" s="2"/>
      <c r="D30" s="2"/>
      <c r="E30" s="2"/>
      <c r="F30" s="54"/>
      <c r="G30" s="3"/>
    </row>
    <row r="31" spans="1:9" ht="15" x14ac:dyDescent="0.25">
      <c r="A31" s="2"/>
      <c r="B31" s="2"/>
      <c r="C31" s="2"/>
      <c r="D31" s="2"/>
      <c r="E31" s="2"/>
      <c r="F31" s="54"/>
      <c r="G31" s="3"/>
    </row>
    <row r="32" spans="1:9"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75" customHeight="1" x14ac:dyDescent="0.25">
      <c r="A54" s="2"/>
      <c r="B54" s="2"/>
      <c r="C54" s="2"/>
      <c r="D54" s="2"/>
      <c r="E54" s="2"/>
      <c r="F54" s="54"/>
      <c r="G54" s="3"/>
    </row>
    <row r="55" spans="1:7" ht="15.75" customHeight="1" x14ac:dyDescent="0.25">
      <c r="A55" s="2"/>
      <c r="B55" s="2"/>
      <c r="C55" s="2"/>
      <c r="D55" s="2"/>
      <c r="E55" s="2"/>
      <c r="F55" s="54"/>
      <c r="G55" s="3"/>
    </row>
  </sheetData>
  <autoFilter ref="A3:I3" xr:uid="{00000000-0009-0000-0000-00001C000000}"/>
  <mergeCells count="38">
    <mergeCell ref="A1:I1"/>
    <mergeCell ref="A2:E2"/>
    <mergeCell ref="F2:I2"/>
    <mergeCell ref="A4:A5"/>
    <mergeCell ref="B4:B5"/>
    <mergeCell ref="C4:C5"/>
    <mergeCell ref="D4:D5"/>
    <mergeCell ref="E4:E5"/>
    <mergeCell ref="F4:F5"/>
    <mergeCell ref="G4:G5"/>
    <mergeCell ref="G6:G9"/>
    <mergeCell ref="A11:A12"/>
    <mergeCell ref="B11:B12"/>
    <mergeCell ref="C11:C12"/>
    <mergeCell ref="D11:D12"/>
    <mergeCell ref="E11:E12"/>
    <mergeCell ref="F11:F12"/>
    <mergeCell ref="G11:G12"/>
    <mergeCell ref="A6:A9"/>
    <mergeCell ref="B6:B9"/>
    <mergeCell ref="C6:C9"/>
    <mergeCell ref="D6:D9"/>
    <mergeCell ref="E6:E9"/>
    <mergeCell ref="F6:F9"/>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pageSetUpPr fitToPage="1"/>
  </sheetPr>
  <dimension ref="A1:I52"/>
  <sheetViews>
    <sheetView view="pageBreakPreview" topLeftCell="H1" zoomScale="90" zoomScaleNormal="90" zoomScaleSheetLayoutView="90" workbookViewId="0">
      <pane ySplit="3" topLeftCell="A4" activePane="bottomLeft" state="frozen"/>
      <selection pane="bottomLeft" activeCell="H4" sqref="H4"/>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327</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49.95" customHeight="1" x14ac:dyDescent="0.25">
      <c r="A4" s="696">
        <v>1</v>
      </c>
      <c r="B4" s="430">
        <v>44721</v>
      </c>
      <c r="C4" s="689">
        <v>2022061000001</v>
      </c>
      <c r="D4" s="698" t="s">
        <v>328</v>
      </c>
      <c r="E4" s="383" t="s">
        <v>332</v>
      </c>
      <c r="F4" s="383" t="s">
        <v>337</v>
      </c>
      <c r="G4" s="697">
        <v>44742</v>
      </c>
      <c r="H4" s="82" t="s">
        <v>330</v>
      </c>
      <c r="I4" s="41">
        <f>47*10</f>
        <v>470</v>
      </c>
    </row>
    <row r="5" spans="1:9" s="10" customFormat="1" ht="49.95" customHeight="1" x14ac:dyDescent="0.25">
      <c r="A5" s="696"/>
      <c r="B5" s="430"/>
      <c r="C5" s="689"/>
      <c r="D5" s="698"/>
      <c r="E5" s="383"/>
      <c r="F5" s="383"/>
      <c r="G5" s="697"/>
      <c r="H5" s="82" t="s">
        <v>331</v>
      </c>
      <c r="I5" s="41">
        <f>471*5</f>
        <v>2355</v>
      </c>
    </row>
    <row r="6" spans="1:9" s="10" customFormat="1" ht="49.95" customHeight="1" x14ac:dyDescent="0.25">
      <c r="A6" s="392">
        <v>1</v>
      </c>
      <c r="B6" s="430">
        <v>44734</v>
      </c>
      <c r="C6" s="689" t="s">
        <v>329</v>
      </c>
      <c r="D6" s="645" t="s">
        <v>136</v>
      </c>
      <c r="E6" s="383" t="s">
        <v>333</v>
      </c>
      <c r="F6" s="383" t="s">
        <v>334</v>
      </c>
      <c r="G6" s="578">
        <v>44739</v>
      </c>
      <c r="H6" s="83" t="s">
        <v>335</v>
      </c>
      <c r="I6" s="41">
        <f>9410</f>
        <v>9410</v>
      </c>
    </row>
    <row r="7" spans="1:9" s="10" customFormat="1" ht="49.95" customHeight="1" thickBot="1" x14ac:dyDescent="0.3">
      <c r="A7" s="594"/>
      <c r="B7" s="685"/>
      <c r="C7" s="687"/>
      <c r="D7" s="646"/>
      <c r="E7" s="433"/>
      <c r="F7" s="433"/>
      <c r="G7" s="583"/>
      <c r="H7" s="85" t="s">
        <v>336</v>
      </c>
      <c r="I7" s="45">
        <f>747</f>
        <v>747</v>
      </c>
    </row>
    <row r="8" spans="1:9" ht="15" x14ac:dyDescent="0.25">
      <c r="A8" s="2"/>
      <c r="B8" s="2"/>
      <c r="C8" s="2"/>
      <c r="D8" s="2"/>
      <c r="E8" s="2"/>
      <c r="F8" s="54"/>
      <c r="G8" s="3"/>
    </row>
    <row r="9" spans="1:9" ht="15" x14ac:dyDescent="0.25">
      <c r="A9" s="2"/>
      <c r="B9" s="2"/>
      <c r="C9" s="2"/>
      <c r="D9" s="2"/>
      <c r="E9" s="2"/>
      <c r="F9" s="54"/>
      <c r="G9" s="3"/>
    </row>
    <row r="10" spans="1:9" ht="15" x14ac:dyDescent="0.25">
      <c r="A10" s="2"/>
      <c r="B10" s="2"/>
      <c r="C10" s="2"/>
      <c r="D10" s="2"/>
      <c r="E10" s="2"/>
      <c r="F10" s="54"/>
      <c r="G10" s="3"/>
    </row>
    <row r="11" spans="1:9" ht="15" x14ac:dyDescent="0.25">
      <c r="A11" s="2"/>
      <c r="B11" s="2"/>
      <c r="C11" s="2"/>
      <c r="D11" s="2"/>
      <c r="E11" s="2"/>
      <c r="F11" s="54"/>
      <c r="G11" s="3"/>
    </row>
    <row r="12" spans="1:9" ht="15" x14ac:dyDescent="0.25">
      <c r="A12" s="2"/>
      <c r="B12" s="2"/>
      <c r="C12" s="2"/>
      <c r="D12" s="2"/>
      <c r="E12" s="2"/>
      <c r="F12" s="54"/>
      <c r="G12" s="3"/>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7" ht="15" x14ac:dyDescent="0.25">
      <c r="A17" s="2"/>
      <c r="B17" s="2"/>
      <c r="C17" s="2"/>
      <c r="D17" s="2"/>
      <c r="E17" s="2"/>
      <c r="F17" s="54"/>
      <c r="G17" s="3"/>
    </row>
    <row r="18" spans="1:7" ht="15" x14ac:dyDescent="0.25">
      <c r="A18" s="2"/>
      <c r="B18" s="2"/>
      <c r="C18" s="2"/>
      <c r="D18" s="2"/>
      <c r="E18" s="2"/>
      <c r="F18" s="54"/>
      <c r="G18" s="3"/>
    </row>
    <row r="19" spans="1:7" ht="15" x14ac:dyDescent="0.25">
      <c r="A19" s="2"/>
      <c r="B19" s="2"/>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sheetData>
  <autoFilter ref="A3:I3" xr:uid="{00000000-0009-0000-0000-00001D000000}"/>
  <mergeCells count="17">
    <mergeCell ref="A1:I1"/>
    <mergeCell ref="A2:E2"/>
    <mergeCell ref="F2:I2"/>
    <mergeCell ref="A4:A5"/>
    <mergeCell ref="B4:B5"/>
    <mergeCell ref="C4:C5"/>
    <mergeCell ref="D4:D5"/>
    <mergeCell ref="E4:E5"/>
    <mergeCell ref="F4:F5"/>
    <mergeCell ref="G4:G5"/>
    <mergeCell ref="G6:G7"/>
    <mergeCell ref="A6:A7"/>
    <mergeCell ref="B6:B7"/>
    <mergeCell ref="C6:C7"/>
    <mergeCell ref="D6:D7"/>
    <mergeCell ref="E6:E7"/>
    <mergeCell ref="F6:F7"/>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pageSetUpPr fitToPage="1"/>
  </sheetPr>
  <dimension ref="A1:I79"/>
  <sheetViews>
    <sheetView view="pageBreakPreview" zoomScale="40" zoomScaleNormal="90" zoomScaleSheetLayoutView="40" workbookViewId="0">
      <pane ySplit="3" topLeftCell="A40" activePane="bottomLeft" state="frozen"/>
      <selection pane="bottomLeft" activeCell="H47" sqref="H47:I47"/>
    </sheetView>
  </sheetViews>
  <sheetFormatPr defaultColWidth="14.44140625" defaultRowHeight="15.75" customHeight="1" x14ac:dyDescent="0.25"/>
  <cols>
    <col min="1" max="1" width="8.33203125" bestFit="1" customWidth="1"/>
    <col min="2" max="2" width="25.6640625" customWidth="1"/>
    <col min="3" max="3" width="25.6640625" style="1" customWidth="1"/>
    <col min="4" max="4" width="25.6640625" customWidth="1"/>
    <col min="5" max="5" width="25.6640625" style="53" customWidth="1"/>
    <col min="6" max="6" width="80.6640625" style="53" customWidth="1"/>
    <col min="7" max="7" width="25.6640625" customWidth="1"/>
    <col min="8" max="8" width="30.6640625" style="1"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244</v>
      </c>
      <c r="G2" s="389"/>
      <c r="H2" s="389"/>
      <c r="I2" s="390"/>
    </row>
    <row r="3" spans="1:9" s="10" customFormat="1" ht="50.1" customHeight="1" x14ac:dyDescent="0.25">
      <c r="A3" s="17" t="s">
        <v>23</v>
      </c>
      <c r="B3" s="15" t="s">
        <v>326</v>
      </c>
      <c r="C3" s="16" t="s">
        <v>22</v>
      </c>
      <c r="D3" s="14" t="s">
        <v>0</v>
      </c>
      <c r="E3" s="14" t="s">
        <v>2</v>
      </c>
      <c r="F3" s="14" t="s">
        <v>19</v>
      </c>
      <c r="G3" s="15" t="s">
        <v>1</v>
      </c>
      <c r="H3" s="15" t="s">
        <v>15</v>
      </c>
      <c r="I3" s="18" t="s">
        <v>16</v>
      </c>
    </row>
    <row r="4" spans="1:9" s="10" customFormat="1" ht="100.2" customHeight="1" thickBot="1" x14ac:dyDescent="0.3">
      <c r="A4" s="103">
        <v>1</v>
      </c>
      <c r="B4" s="86">
        <v>44685</v>
      </c>
      <c r="C4" s="87" t="s">
        <v>245</v>
      </c>
      <c r="D4" s="88" t="s">
        <v>136</v>
      </c>
      <c r="E4" s="89" t="s">
        <v>246</v>
      </c>
      <c r="F4" s="89" t="s">
        <v>247</v>
      </c>
      <c r="G4" s="90">
        <v>44688</v>
      </c>
      <c r="H4" s="44" t="s">
        <v>248</v>
      </c>
      <c r="I4" s="45">
        <v>283</v>
      </c>
    </row>
    <row r="5" spans="1:9" s="10" customFormat="1" ht="100.2" customHeight="1" thickBot="1" x14ac:dyDescent="0.3">
      <c r="A5" s="104" t="s">
        <v>253</v>
      </c>
      <c r="B5" s="91">
        <v>44685</v>
      </c>
      <c r="C5" s="92" t="s">
        <v>249</v>
      </c>
      <c r="D5" s="93" t="s">
        <v>136</v>
      </c>
      <c r="E5" s="94" t="s">
        <v>250</v>
      </c>
      <c r="F5" s="94" t="s">
        <v>251</v>
      </c>
      <c r="G5" s="95">
        <v>44688</v>
      </c>
      <c r="H5" s="96" t="s">
        <v>252</v>
      </c>
      <c r="I5" s="105">
        <v>314</v>
      </c>
    </row>
    <row r="6" spans="1:9" s="10" customFormat="1" ht="100.2" customHeight="1" thickBot="1" x14ac:dyDescent="0.3">
      <c r="A6" s="106">
        <v>3</v>
      </c>
      <c r="B6" s="97">
        <v>44685</v>
      </c>
      <c r="C6" s="92" t="s">
        <v>254</v>
      </c>
      <c r="D6" s="98" t="s">
        <v>136</v>
      </c>
      <c r="E6" s="99" t="s">
        <v>255</v>
      </c>
      <c r="F6" s="99" t="s">
        <v>256</v>
      </c>
      <c r="G6" s="100">
        <v>44688</v>
      </c>
      <c r="H6" s="96" t="s">
        <v>248</v>
      </c>
      <c r="I6" s="107">
        <v>283</v>
      </c>
    </row>
    <row r="7" spans="1:9" s="10" customFormat="1" ht="49.95" customHeight="1" x14ac:dyDescent="0.25">
      <c r="A7" s="677">
        <v>4</v>
      </c>
      <c r="B7" s="684">
        <v>44685</v>
      </c>
      <c r="C7" s="686" t="s">
        <v>257</v>
      </c>
      <c r="D7" s="644" t="s">
        <v>136</v>
      </c>
      <c r="E7" s="432" t="s">
        <v>258</v>
      </c>
      <c r="F7" s="432" t="s">
        <v>259</v>
      </c>
      <c r="G7" s="434">
        <v>44688</v>
      </c>
      <c r="H7" s="101" t="s">
        <v>37</v>
      </c>
      <c r="I7" s="108">
        <v>9410</v>
      </c>
    </row>
    <row r="8" spans="1:9" s="10" customFormat="1" ht="49.95" customHeight="1" thickBot="1" x14ac:dyDescent="0.3">
      <c r="A8" s="594"/>
      <c r="B8" s="685"/>
      <c r="C8" s="687"/>
      <c r="D8" s="646"/>
      <c r="E8" s="433"/>
      <c r="F8" s="433"/>
      <c r="G8" s="435"/>
      <c r="H8" s="44" t="s">
        <v>38</v>
      </c>
      <c r="I8" s="45">
        <v>747</v>
      </c>
    </row>
    <row r="9" spans="1:9" s="10" customFormat="1" ht="49.95" customHeight="1" x14ac:dyDescent="0.25">
      <c r="A9" s="677">
        <v>5</v>
      </c>
      <c r="B9" s="684">
        <v>44685</v>
      </c>
      <c r="C9" s="686" t="s">
        <v>260</v>
      </c>
      <c r="D9" s="644" t="s">
        <v>136</v>
      </c>
      <c r="E9" s="432" t="s">
        <v>261</v>
      </c>
      <c r="F9" s="432" t="s">
        <v>262</v>
      </c>
      <c r="G9" s="434">
        <v>44688</v>
      </c>
      <c r="H9" s="101" t="s">
        <v>37</v>
      </c>
      <c r="I9" s="108">
        <v>9410</v>
      </c>
    </row>
    <row r="10" spans="1:9" ht="49.95" customHeight="1" thickBot="1" x14ac:dyDescent="0.3">
      <c r="A10" s="594"/>
      <c r="B10" s="685"/>
      <c r="C10" s="687"/>
      <c r="D10" s="646"/>
      <c r="E10" s="433"/>
      <c r="F10" s="433"/>
      <c r="G10" s="435"/>
      <c r="H10" s="44" t="s">
        <v>38</v>
      </c>
      <c r="I10" s="45">
        <v>747</v>
      </c>
    </row>
    <row r="11" spans="1:9" ht="70.2" customHeight="1" x14ac:dyDescent="0.25">
      <c r="A11" s="677">
        <v>6</v>
      </c>
      <c r="B11" s="684">
        <v>44685</v>
      </c>
      <c r="C11" s="686">
        <v>2022050400008</v>
      </c>
      <c r="D11" s="644" t="s">
        <v>263</v>
      </c>
      <c r="E11" s="432" t="s">
        <v>264</v>
      </c>
      <c r="F11" s="432" t="s">
        <v>265</v>
      </c>
      <c r="G11" s="434">
        <v>44691</v>
      </c>
      <c r="H11" s="101" t="s">
        <v>266</v>
      </c>
      <c r="I11" s="108">
        <v>549</v>
      </c>
    </row>
    <row r="12" spans="1:9" ht="70.2" customHeight="1" thickBot="1" x14ac:dyDescent="0.3">
      <c r="A12" s="594"/>
      <c r="B12" s="685"/>
      <c r="C12" s="687"/>
      <c r="D12" s="646"/>
      <c r="E12" s="433"/>
      <c r="F12" s="433"/>
      <c r="G12" s="435"/>
      <c r="H12" s="44" t="s">
        <v>267</v>
      </c>
      <c r="I12" s="52">
        <f>902*5</f>
        <v>4510</v>
      </c>
    </row>
    <row r="13" spans="1:9" ht="49.95" customHeight="1" x14ac:dyDescent="0.25">
      <c r="A13" s="659">
        <v>7</v>
      </c>
      <c r="B13" s="684">
        <v>44690</v>
      </c>
      <c r="C13" s="686" t="s">
        <v>268</v>
      </c>
      <c r="D13" s="644" t="s">
        <v>136</v>
      </c>
      <c r="E13" s="432" t="s">
        <v>269</v>
      </c>
      <c r="F13" s="524" t="s">
        <v>270</v>
      </c>
      <c r="G13" s="434">
        <v>44699</v>
      </c>
      <c r="H13" s="101" t="s">
        <v>297</v>
      </c>
      <c r="I13" s="109">
        <f>47*55</f>
        <v>2585</v>
      </c>
    </row>
    <row r="14" spans="1:9" ht="49.95" customHeight="1" thickBot="1" x14ac:dyDescent="0.3">
      <c r="A14" s="406"/>
      <c r="B14" s="685"/>
      <c r="C14" s="687"/>
      <c r="D14" s="646"/>
      <c r="E14" s="433"/>
      <c r="F14" s="525"/>
      <c r="G14" s="435"/>
      <c r="H14" s="44" t="s">
        <v>298</v>
      </c>
      <c r="I14" s="52">
        <f>51*15</f>
        <v>765</v>
      </c>
    </row>
    <row r="15" spans="1:9" ht="49.95" customHeight="1" x14ac:dyDescent="0.25">
      <c r="A15" s="406"/>
      <c r="B15" s="684">
        <v>44690</v>
      </c>
      <c r="C15" s="686" t="s">
        <v>271</v>
      </c>
      <c r="D15" s="644" t="s">
        <v>136</v>
      </c>
      <c r="E15" s="432" t="s">
        <v>272</v>
      </c>
      <c r="F15" s="432" t="s">
        <v>273</v>
      </c>
      <c r="G15" s="434">
        <v>44699</v>
      </c>
      <c r="H15" s="101" t="s">
        <v>299</v>
      </c>
      <c r="I15" s="109">
        <f>47*85</f>
        <v>3995</v>
      </c>
    </row>
    <row r="16" spans="1:9" ht="49.95" customHeight="1" x14ac:dyDescent="0.25">
      <c r="A16" s="406"/>
      <c r="B16" s="430"/>
      <c r="C16" s="689"/>
      <c r="D16" s="645"/>
      <c r="E16" s="383"/>
      <c r="F16" s="383"/>
      <c r="G16" s="382"/>
      <c r="H16" s="39" t="s">
        <v>300</v>
      </c>
      <c r="I16" s="42">
        <f>51*8</f>
        <v>408</v>
      </c>
    </row>
    <row r="17" spans="1:9" ht="49.95" customHeight="1" x14ac:dyDescent="0.25">
      <c r="A17" s="406"/>
      <c r="B17" s="430"/>
      <c r="C17" s="689"/>
      <c r="D17" s="645"/>
      <c r="E17" s="383"/>
      <c r="F17" s="383"/>
      <c r="G17" s="382"/>
      <c r="H17" s="39" t="s">
        <v>37</v>
      </c>
      <c r="I17" s="41">
        <v>9410</v>
      </c>
    </row>
    <row r="18" spans="1:9" ht="49.95" customHeight="1" thickBot="1" x14ac:dyDescent="0.3">
      <c r="A18" s="406"/>
      <c r="B18" s="685"/>
      <c r="C18" s="687"/>
      <c r="D18" s="646"/>
      <c r="E18" s="433"/>
      <c r="F18" s="433"/>
      <c r="G18" s="435"/>
      <c r="H18" s="44" t="s">
        <v>38</v>
      </c>
      <c r="I18" s="45">
        <v>747</v>
      </c>
    </row>
    <row r="19" spans="1:9" ht="49.95" customHeight="1" x14ac:dyDescent="0.25">
      <c r="A19" s="705">
        <v>7</v>
      </c>
      <c r="B19" s="702">
        <v>44690</v>
      </c>
      <c r="C19" s="686" t="s">
        <v>274</v>
      </c>
      <c r="D19" s="644" t="s">
        <v>136</v>
      </c>
      <c r="E19" s="432" t="s">
        <v>275</v>
      </c>
      <c r="F19" s="432" t="s">
        <v>276</v>
      </c>
      <c r="G19" s="434">
        <v>44699</v>
      </c>
      <c r="H19" s="101" t="s">
        <v>301</v>
      </c>
      <c r="I19" s="109">
        <f>47*30</f>
        <v>1410</v>
      </c>
    </row>
    <row r="20" spans="1:9" ht="49.95" customHeight="1" x14ac:dyDescent="0.25">
      <c r="A20" s="705"/>
      <c r="B20" s="703"/>
      <c r="C20" s="689"/>
      <c r="D20" s="645"/>
      <c r="E20" s="383"/>
      <c r="F20" s="383"/>
      <c r="G20" s="382"/>
      <c r="H20" s="39" t="s">
        <v>302</v>
      </c>
      <c r="I20" s="42">
        <f>51*5</f>
        <v>255</v>
      </c>
    </row>
    <row r="21" spans="1:9" ht="49.95" customHeight="1" x14ac:dyDescent="0.25">
      <c r="A21" s="705"/>
      <c r="B21" s="703"/>
      <c r="C21" s="689"/>
      <c r="D21" s="645"/>
      <c r="E21" s="383"/>
      <c r="F21" s="383"/>
      <c r="G21" s="382"/>
      <c r="H21" s="39" t="s">
        <v>37</v>
      </c>
      <c r="I21" s="41">
        <v>9410</v>
      </c>
    </row>
    <row r="22" spans="1:9" ht="49.95" customHeight="1" thickBot="1" x14ac:dyDescent="0.3">
      <c r="A22" s="705"/>
      <c r="B22" s="704"/>
      <c r="C22" s="687"/>
      <c r="D22" s="646"/>
      <c r="E22" s="433"/>
      <c r="F22" s="433"/>
      <c r="G22" s="435"/>
      <c r="H22" s="44" t="s">
        <v>38</v>
      </c>
      <c r="I22" s="45">
        <v>747</v>
      </c>
    </row>
    <row r="23" spans="1:9" ht="49.95" customHeight="1" x14ac:dyDescent="0.25">
      <c r="A23" s="705"/>
      <c r="B23" s="702">
        <v>44690</v>
      </c>
      <c r="C23" s="686" t="s">
        <v>277</v>
      </c>
      <c r="D23" s="644" t="s">
        <v>136</v>
      </c>
      <c r="E23" s="642" t="s">
        <v>278</v>
      </c>
      <c r="F23" s="432" t="s">
        <v>279</v>
      </c>
      <c r="G23" s="434">
        <v>44699</v>
      </c>
      <c r="H23" s="101" t="s">
        <v>312</v>
      </c>
      <c r="I23" s="109">
        <f>47*35</f>
        <v>1645</v>
      </c>
    </row>
    <row r="24" spans="1:9" ht="49.95" customHeight="1" x14ac:dyDescent="0.25">
      <c r="A24" s="705"/>
      <c r="B24" s="703"/>
      <c r="C24" s="689"/>
      <c r="D24" s="645"/>
      <c r="E24" s="482"/>
      <c r="F24" s="383"/>
      <c r="G24" s="382"/>
      <c r="H24" s="39" t="s">
        <v>309</v>
      </c>
      <c r="I24" s="42">
        <f>51*15</f>
        <v>765</v>
      </c>
    </row>
    <row r="25" spans="1:9" ht="49.95" customHeight="1" x14ac:dyDescent="0.25">
      <c r="A25" s="705"/>
      <c r="B25" s="703"/>
      <c r="C25" s="689"/>
      <c r="D25" s="645"/>
      <c r="E25" s="482"/>
      <c r="F25" s="383"/>
      <c r="G25" s="382"/>
      <c r="H25" s="39" t="s">
        <v>37</v>
      </c>
      <c r="I25" s="41">
        <v>9410</v>
      </c>
    </row>
    <row r="26" spans="1:9" ht="49.95" customHeight="1" x14ac:dyDescent="0.25">
      <c r="A26" s="705"/>
      <c r="B26" s="703"/>
      <c r="C26" s="689"/>
      <c r="D26" s="645"/>
      <c r="E26" s="482"/>
      <c r="F26" s="383"/>
      <c r="G26" s="382"/>
      <c r="H26" s="39" t="s">
        <v>38</v>
      </c>
      <c r="I26" s="41">
        <v>747</v>
      </c>
    </row>
    <row r="27" spans="1:9" ht="49.95" customHeight="1" x14ac:dyDescent="0.25">
      <c r="A27" s="705"/>
      <c r="B27" s="703"/>
      <c r="C27" s="689"/>
      <c r="D27" s="645"/>
      <c r="E27" s="482"/>
      <c r="F27" s="383"/>
      <c r="G27" s="382"/>
      <c r="H27" s="39" t="s">
        <v>303</v>
      </c>
      <c r="I27" s="41">
        <f>1*1098</f>
        <v>1098</v>
      </c>
    </row>
    <row r="28" spans="1:9" ht="49.95" customHeight="1" thickBot="1" x14ac:dyDescent="0.3">
      <c r="A28" s="705"/>
      <c r="B28" s="704"/>
      <c r="C28" s="687"/>
      <c r="D28" s="646"/>
      <c r="E28" s="643"/>
      <c r="F28" s="433"/>
      <c r="G28" s="435"/>
      <c r="H28" s="44" t="s">
        <v>304</v>
      </c>
      <c r="I28" s="45">
        <f>1*1062</f>
        <v>1062</v>
      </c>
    </row>
    <row r="29" spans="1:9" ht="49.95" customHeight="1" x14ac:dyDescent="0.25">
      <c r="A29" s="705"/>
      <c r="B29" s="702">
        <v>44690</v>
      </c>
      <c r="C29" s="686" t="s">
        <v>280</v>
      </c>
      <c r="D29" s="644" t="s">
        <v>136</v>
      </c>
      <c r="E29" s="642" t="s">
        <v>281</v>
      </c>
      <c r="F29" s="432" t="s">
        <v>282</v>
      </c>
      <c r="G29" s="434">
        <v>44699</v>
      </c>
      <c r="H29" s="101" t="s">
        <v>305</v>
      </c>
      <c r="I29" s="109">
        <f>47*50</f>
        <v>2350</v>
      </c>
    </row>
    <row r="30" spans="1:9" ht="49.95" customHeight="1" x14ac:dyDescent="0.25">
      <c r="A30" s="705"/>
      <c r="B30" s="703"/>
      <c r="C30" s="689"/>
      <c r="D30" s="645"/>
      <c r="E30" s="482"/>
      <c r="F30" s="383"/>
      <c r="G30" s="382"/>
      <c r="H30" s="39" t="s">
        <v>37</v>
      </c>
      <c r="I30" s="41">
        <v>9410</v>
      </c>
    </row>
    <row r="31" spans="1:9" ht="49.95" customHeight="1" thickBot="1" x14ac:dyDescent="0.3">
      <c r="A31" s="705"/>
      <c r="B31" s="704"/>
      <c r="C31" s="687"/>
      <c r="D31" s="646"/>
      <c r="E31" s="643"/>
      <c r="F31" s="433"/>
      <c r="G31" s="435"/>
      <c r="H31" s="44" t="s">
        <v>38</v>
      </c>
      <c r="I31" s="45">
        <v>747</v>
      </c>
    </row>
    <row r="32" spans="1:9" ht="49.95" customHeight="1" x14ac:dyDescent="0.25">
      <c r="A32" s="705"/>
      <c r="B32" s="702">
        <v>44690</v>
      </c>
      <c r="C32" s="686" t="s">
        <v>283</v>
      </c>
      <c r="D32" s="644" t="s">
        <v>136</v>
      </c>
      <c r="E32" s="432" t="s">
        <v>284</v>
      </c>
      <c r="F32" s="432" t="s">
        <v>285</v>
      </c>
      <c r="G32" s="699">
        <v>44699</v>
      </c>
      <c r="H32" s="101" t="s">
        <v>306</v>
      </c>
      <c r="I32" s="109">
        <f>47*70</f>
        <v>3290</v>
      </c>
    </row>
    <row r="33" spans="1:9" ht="49.95" customHeight="1" x14ac:dyDescent="0.25">
      <c r="A33" s="705"/>
      <c r="B33" s="703"/>
      <c r="C33" s="689"/>
      <c r="D33" s="645"/>
      <c r="E33" s="383"/>
      <c r="F33" s="383"/>
      <c r="G33" s="700"/>
      <c r="H33" s="39" t="s">
        <v>307</v>
      </c>
      <c r="I33" s="42">
        <f>51*7</f>
        <v>357</v>
      </c>
    </row>
    <row r="34" spans="1:9" ht="49.95" customHeight="1" thickBot="1" x14ac:dyDescent="0.3">
      <c r="A34" s="705"/>
      <c r="B34" s="704"/>
      <c r="C34" s="687"/>
      <c r="D34" s="646"/>
      <c r="E34" s="433"/>
      <c r="F34" s="433"/>
      <c r="G34" s="701"/>
      <c r="H34" s="44" t="s">
        <v>308</v>
      </c>
      <c r="I34" s="45">
        <f>1*314</f>
        <v>314</v>
      </c>
    </row>
    <row r="35" spans="1:9" ht="49.95" customHeight="1" x14ac:dyDescent="0.25">
      <c r="A35" s="705"/>
      <c r="B35" s="702">
        <v>44690</v>
      </c>
      <c r="C35" s="686">
        <v>2022051200002</v>
      </c>
      <c r="D35" s="644" t="s">
        <v>286</v>
      </c>
      <c r="E35" s="642" t="s">
        <v>287</v>
      </c>
      <c r="F35" s="432" t="s">
        <v>288</v>
      </c>
      <c r="G35" s="699">
        <v>44699</v>
      </c>
      <c r="H35" s="101" t="s">
        <v>312</v>
      </c>
      <c r="I35" s="109">
        <f>47*35</f>
        <v>1645</v>
      </c>
    </row>
    <row r="36" spans="1:9" ht="49.95" customHeight="1" thickBot="1" x14ac:dyDescent="0.3">
      <c r="A36" s="705"/>
      <c r="B36" s="704"/>
      <c r="C36" s="687"/>
      <c r="D36" s="646"/>
      <c r="E36" s="643"/>
      <c r="F36" s="433"/>
      <c r="G36" s="701"/>
      <c r="H36" s="44" t="s">
        <v>300</v>
      </c>
      <c r="I36" s="52">
        <f>51*8</f>
        <v>408</v>
      </c>
    </row>
    <row r="37" spans="1:9" ht="49.95" customHeight="1" x14ac:dyDescent="0.25">
      <c r="A37" s="705"/>
      <c r="B37" s="702">
        <v>44690</v>
      </c>
      <c r="C37" s="686" t="s">
        <v>289</v>
      </c>
      <c r="D37" s="644" t="s">
        <v>136</v>
      </c>
      <c r="E37" s="642" t="s">
        <v>290</v>
      </c>
      <c r="F37" s="432" t="s">
        <v>288</v>
      </c>
      <c r="G37" s="699">
        <v>44699</v>
      </c>
      <c r="H37" s="101" t="s">
        <v>301</v>
      </c>
      <c r="I37" s="109">
        <f>47*30</f>
        <v>1410</v>
      </c>
    </row>
    <row r="38" spans="1:9" ht="49.95" customHeight="1" thickBot="1" x14ac:dyDescent="0.3">
      <c r="A38" s="705"/>
      <c r="B38" s="704"/>
      <c r="C38" s="687"/>
      <c r="D38" s="646"/>
      <c r="E38" s="643"/>
      <c r="F38" s="433"/>
      <c r="G38" s="701"/>
      <c r="H38" s="44" t="s">
        <v>309</v>
      </c>
      <c r="I38" s="52">
        <f>51*15</f>
        <v>765</v>
      </c>
    </row>
    <row r="39" spans="1:9" ht="49.95" customHeight="1" x14ac:dyDescent="0.25">
      <c r="A39" s="406">
        <v>7</v>
      </c>
      <c r="B39" s="684">
        <v>44690</v>
      </c>
      <c r="C39" s="686" t="s">
        <v>291</v>
      </c>
      <c r="D39" s="644" t="s">
        <v>136</v>
      </c>
      <c r="E39" s="432" t="s">
        <v>292</v>
      </c>
      <c r="F39" s="432" t="s">
        <v>293</v>
      </c>
      <c r="G39" s="699">
        <v>44699</v>
      </c>
      <c r="H39" s="101" t="s">
        <v>310</v>
      </c>
      <c r="I39" s="109">
        <f>47*150</f>
        <v>7050</v>
      </c>
    </row>
    <row r="40" spans="1:9" ht="49.95" customHeight="1" x14ac:dyDescent="0.25">
      <c r="A40" s="406"/>
      <c r="B40" s="430"/>
      <c r="C40" s="689"/>
      <c r="D40" s="645"/>
      <c r="E40" s="383"/>
      <c r="F40" s="383"/>
      <c r="G40" s="700"/>
      <c r="H40" s="39" t="s">
        <v>309</v>
      </c>
      <c r="I40" s="42">
        <f>51*15</f>
        <v>765</v>
      </c>
    </row>
    <row r="41" spans="1:9" ht="49.95" customHeight="1" thickBot="1" x14ac:dyDescent="0.3">
      <c r="A41" s="406"/>
      <c r="B41" s="685"/>
      <c r="C41" s="687"/>
      <c r="D41" s="646"/>
      <c r="E41" s="433"/>
      <c r="F41" s="433"/>
      <c r="G41" s="701"/>
      <c r="H41" s="44" t="s">
        <v>304</v>
      </c>
      <c r="I41" s="45">
        <f>1*1062</f>
        <v>1062</v>
      </c>
    </row>
    <row r="42" spans="1:9" ht="49.95" customHeight="1" x14ac:dyDescent="0.25">
      <c r="A42" s="406"/>
      <c r="B42" s="684">
        <v>44690</v>
      </c>
      <c r="C42" s="686" t="s">
        <v>294</v>
      </c>
      <c r="D42" s="644" t="s">
        <v>136</v>
      </c>
      <c r="E42" s="642" t="s">
        <v>295</v>
      </c>
      <c r="F42" s="524" t="s">
        <v>296</v>
      </c>
      <c r="G42" s="699">
        <v>44699</v>
      </c>
      <c r="H42" s="101" t="s">
        <v>305</v>
      </c>
      <c r="I42" s="109">
        <f>47*50</f>
        <v>2350</v>
      </c>
    </row>
    <row r="43" spans="1:9" ht="49.95" customHeight="1" x14ac:dyDescent="0.25">
      <c r="A43" s="406"/>
      <c r="B43" s="430"/>
      <c r="C43" s="689"/>
      <c r="D43" s="645"/>
      <c r="E43" s="482"/>
      <c r="F43" s="492"/>
      <c r="G43" s="700"/>
      <c r="H43" s="39" t="s">
        <v>309</v>
      </c>
      <c r="I43" s="42">
        <f>51*15</f>
        <v>765</v>
      </c>
    </row>
    <row r="44" spans="1:9" ht="49.95" customHeight="1" x14ac:dyDescent="0.25">
      <c r="A44" s="406"/>
      <c r="B44" s="430"/>
      <c r="C44" s="689"/>
      <c r="D44" s="645"/>
      <c r="E44" s="482"/>
      <c r="F44" s="492"/>
      <c r="G44" s="700"/>
      <c r="H44" s="39" t="s">
        <v>37</v>
      </c>
      <c r="I44" s="41">
        <v>9410</v>
      </c>
    </row>
    <row r="45" spans="1:9" ht="49.95" customHeight="1" x14ac:dyDescent="0.25">
      <c r="A45" s="406"/>
      <c r="B45" s="430"/>
      <c r="C45" s="689"/>
      <c r="D45" s="645"/>
      <c r="E45" s="482"/>
      <c r="F45" s="492"/>
      <c r="G45" s="700"/>
      <c r="H45" s="39" t="s">
        <v>38</v>
      </c>
      <c r="I45" s="41">
        <v>747</v>
      </c>
    </row>
    <row r="46" spans="1:9" ht="49.95" customHeight="1" x14ac:dyDescent="0.25">
      <c r="A46" s="406"/>
      <c r="B46" s="430"/>
      <c r="C46" s="689"/>
      <c r="D46" s="645"/>
      <c r="E46" s="482"/>
      <c r="F46" s="492"/>
      <c r="G46" s="700"/>
      <c r="H46" s="39" t="s">
        <v>311</v>
      </c>
      <c r="I46" s="41">
        <f>1*1098</f>
        <v>1098</v>
      </c>
    </row>
    <row r="47" spans="1:9" ht="49.95" customHeight="1" thickBot="1" x14ac:dyDescent="0.3">
      <c r="A47" s="660"/>
      <c r="B47" s="685"/>
      <c r="C47" s="687"/>
      <c r="D47" s="646"/>
      <c r="E47" s="643"/>
      <c r="F47" s="525"/>
      <c r="G47" s="701"/>
      <c r="H47" s="44" t="s">
        <v>304</v>
      </c>
      <c r="I47" s="45">
        <f>1*1062</f>
        <v>1062</v>
      </c>
    </row>
    <row r="48" spans="1:9" ht="49.95" customHeight="1" x14ac:dyDescent="0.25">
      <c r="A48" s="677">
        <v>8</v>
      </c>
      <c r="B48" s="684">
        <v>44692</v>
      </c>
      <c r="C48" s="686" t="s">
        <v>313</v>
      </c>
      <c r="D48" s="644" t="s">
        <v>136</v>
      </c>
      <c r="E48" s="642" t="s">
        <v>314</v>
      </c>
      <c r="F48" s="524" t="s">
        <v>315</v>
      </c>
      <c r="G48" s="699">
        <v>44693</v>
      </c>
      <c r="H48" s="101" t="s">
        <v>37</v>
      </c>
      <c r="I48" s="108">
        <v>9410</v>
      </c>
    </row>
    <row r="49" spans="1:9" ht="49.95" customHeight="1" thickBot="1" x14ac:dyDescent="0.3">
      <c r="A49" s="594"/>
      <c r="B49" s="685"/>
      <c r="C49" s="687"/>
      <c r="D49" s="646"/>
      <c r="E49" s="643"/>
      <c r="F49" s="525"/>
      <c r="G49" s="701"/>
      <c r="H49" s="44" t="s">
        <v>38</v>
      </c>
      <c r="I49" s="45">
        <v>747</v>
      </c>
    </row>
    <row r="50" spans="1:9" ht="64.95" customHeight="1" x14ac:dyDescent="0.25">
      <c r="A50" s="677">
        <v>9</v>
      </c>
      <c r="B50" s="684">
        <v>44697</v>
      </c>
      <c r="C50" s="686">
        <v>2022051600001</v>
      </c>
      <c r="D50" s="644" t="s">
        <v>136</v>
      </c>
      <c r="E50" s="642" t="s">
        <v>316</v>
      </c>
      <c r="F50" s="432" t="s">
        <v>317</v>
      </c>
      <c r="G50" s="699">
        <v>44705</v>
      </c>
      <c r="H50" s="101" t="s">
        <v>321</v>
      </c>
      <c r="I50" s="108">
        <f>850*1</f>
        <v>850</v>
      </c>
    </row>
    <row r="51" spans="1:9" ht="64.95" customHeight="1" x14ac:dyDescent="0.25">
      <c r="A51" s="392"/>
      <c r="B51" s="430"/>
      <c r="C51" s="689"/>
      <c r="D51" s="645"/>
      <c r="E51" s="482"/>
      <c r="F51" s="383"/>
      <c r="G51" s="700"/>
      <c r="H51" s="39" t="s">
        <v>322</v>
      </c>
      <c r="I51" s="41">
        <f>212*3</f>
        <v>636</v>
      </c>
    </row>
    <row r="52" spans="1:9" ht="64.95" customHeight="1" x14ac:dyDescent="0.25">
      <c r="A52" s="392"/>
      <c r="B52" s="430"/>
      <c r="C52" s="689"/>
      <c r="D52" s="645"/>
      <c r="E52" s="482"/>
      <c r="F52" s="383"/>
      <c r="G52" s="700"/>
      <c r="H52" s="39" t="s">
        <v>324</v>
      </c>
      <c r="I52" s="41">
        <f>471*4</f>
        <v>1884</v>
      </c>
    </row>
    <row r="53" spans="1:9" ht="64.95" customHeight="1" thickBot="1" x14ac:dyDescent="0.3">
      <c r="A53" s="594"/>
      <c r="B53" s="685"/>
      <c r="C53" s="687"/>
      <c r="D53" s="646"/>
      <c r="E53" s="643"/>
      <c r="F53" s="433"/>
      <c r="G53" s="701"/>
      <c r="H53" s="44" t="s">
        <v>325</v>
      </c>
      <c r="I53" s="45">
        <f>131*7</f>
        <v>917</v>
      </c>
    </row>
    <row r="54" spans="1:9" ht="100.2" customHeight="1" thickBot="1" x14ac:dyDescent="0.3">
      <c r="A54" s="106">
        <v>10</v>
      </c>
      <c r="B54" s="91">
        <v>44704</v>
      </c>
      <c r="C54" s="92">
        <v>2022052300002</v>
      </c>
      <c r="D54" s="93" t="s">
        <v>318</v>
      </c>
      <c r="E54" s="94" t="s">
        <v>319</v>
      </c>
      <c r="F54" s="94" t="s">
        <v>320</v>
      </c>
      <c r="G54" s="95">
        <v>44705</v>
      </c>
      <c r="H54" s="96" t="s">
        <v>323</v>
      </c>
      <c r="I54" s="107">
        <f>627*1</f>
        <v>627</v>
      </c>
    </row>
    <row r="55" spans="1:9" ht="49.95" customHeight="1" x14ac:dyDescent="0.25">
      <c r="A55" s="102"/>
    </row>
    <row r="56" spans="1:9" ht="49.95" customHeight="1" x14ac:dyDescent="0.25"/>
    <row r="57" spans="1:9" ht="49.95" customHeight="1" x14ac:dyDescent="0.25"/>
    <row r="58" spans="1:9" ht="49.95" customHeight="1" x14ac:dyDescent="0.25"/>
    <row r="59" spans="1:9" ht="49.95" customHeight="1" x14ac:dyDescent="0.25"/>
    <row r="60" spans="1:9" ht="49.95" customHeight="1" x14ac:dyDescent="0.25"/>
    <row r="61" spans="1:9" ht="49.95" customHeight="1" x14ac:dyDescent="0.25"/>
    <row r="62" spans="1:9" ht="49.95" customHeight="1" x14ac:dyDescent="0.25"/>
    <row r="63" spans="1:9" ht="49.95" customHeight="1" x14ac:dyDescent="0.25"/>
    <row r="64" spans="1:9" ht="49.95" customHeight="1"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sheetData>
  <autoFilter ref="A3:I3" xr:uid="{00000000-0009-0000-0000-00001E000000}"/>
  <mergeCells count="101">
    <mergeCell ref="A13:A18"/>
    <mergeCell ref="A19:A38"/>
    <mergeCell ref="A39:A47"/>
    <mergeCell ref="G23:G28"/>
    <mergeCell ref="G29:G31"/>
    <mergeCell ref="G32:G34"/>
    <mergeCell ref="G39:G41"/>
    <mergeCell ref="G42:G47"/>
    <mergeCell ref="C42:C47"/>
    <mergeCell ref="D42:D47"/>
    <mergeCell ref="E42:E47"/>
    <mergeCell ref="F42:F47"/>
    <mergeCell ref="G37:G38"/>
    <mergeCell ref="F39:F41"/>
    <mergeCell ref="E39:E41"/>
    <mergeCell ref="D39:D41"/>
    <mergeCell ref="C39:C41"/>
    <mergeCell ref="C37:C38"/>
    <mergeCell ref="D37:D38"/>
    <mergeCell ref="D29:D31"/>
    <mergeCell ref="E29:E31"/>
    <mergeCell ref="F29:F31"/>
    <mergeCell ref="G35:G36"/>
    <mergeCell ref="C32:C34"/>
    <mergeCell ref="F11:F12"/>
    <mergeCell ref="G11:G12"/>
    <mergeCell ref="C15:C18"/>
    <mergeCell ref="D15:D18"/>
    <mergeCell ref="E15:E18"/>
    <mergeCell ref="F15:F18"/>
    <mergeCell ref="E11:E12"/>
    <mergeCell ref="G15:G18"/>
    <mergeCell ref="G19:G22"/>
    <mergeCell ref="F13:F14"/>
    <mergeCell ref="C19:C22"/>
    <mergeCell ref="D19:D22"/>
    <mergeCell ref="E19:E22"/>
    <mergeCell ref="F19:F22"/>
    <mergeCell ref="A7:A8"/>
    <mergeCell ref="A9:A10"/>
    <mergeCell ref="C11:C12"/>
    <mergeCell ref="D11:D12"/>
    <mergeCell ref="B11:B12"/>
    <mergeCell ref="A11:A12"/>
    <mergeCell ref="C7:C8"/>
    <mergeCell ref="D7:D8"/>
    <mergeCell ref="B7:B8"/>
    <mergeCell ref="E7:E8"/>
    <mergeCell ref="F7:F8"/>
    <mergeCell ref="G7:G8"/>
    <mergeCell ref="C9:C10"/>
    <mergeCell ref="D9:D10"/>
    <mergeCell ref="E9:E10"/>
    <mergeCell ref="F9:F10"/>
    <mergeCell ref="G9:G10"/>
    <mergeCell ref="B9:B10"/>
    <mergeCell ref="B19:B22"/>
    <mergeCell ref="C23:C28"/>
    <mergeCell ref="D23:D28"/>
    <mergeCell ref="E23:E28"/>
    <mergeCell ref="F23:F28"/>
    <mergeCell ref="B23:B28"/>
    <mergeCell ref="D50:D53"/>
    <mergeCell ref="E50:E53"/>
    <mergeCell ref="F50:F53"/>
    <mergeCell ref="B42:B47"/>
    <mergeCell ref="B39:B41"/>
    <mergeCell ref="B32:B34"/>
    <mergeCell ref="D32:D34"/>
    <mergeCell ref="E32:E34"/>
    <mergeCell ref="F32:F34"/>
    <mergeCell ref="E37:E38"/>
    <mergeCell ref="F37:F38"/>
    <mergeCell ref="C35:C36"/>
    <mergeCell ref="D35:D36"/>
    <mergeCell ref="E35:E36"/>
    <mergeCell ref="F35:F36"/>
    <mergeCell ref="G50:G53"/>
    <mergeCell ref="A1:I1"/>
    <mergeCell ref="A2:E2"/>
    <mergeCell ref="F2:I2"/>
    <mergeCell ref="C48:C49"/>
    <mergeCell ref="D48:D49"/>
    <mergeCell ref="E48:E49"/>
    <mergeCell ref="F48:F49"/>
    <mergeCell ref="G48:G49"/>
    <mergeCell ref="B48:B49"/>
    <mergeCell ref="A48:A49"/>
    <mergeCell ref="B15:B18"/>
    <mergeCell ref="G13:G14"/>
    <mergeCell ref="B13:B14"/>
    <mergeCell ref="C13:C14"/>
    <mergeCell ref="D13:D14"/>
    <mergeCell ref="E13:E14"/>
    <mergeCell ref="A50:A53"/>
    <mergeCell ref="B50:B53"/>
    <mergeCell ref="C50:C53"/>
    <mergeCell ref="C29:C31"/>
    <mergeCell ref="B29:B31"/>
    <mergeCell ref="B35:B36"/>
    <mergeCell ref="B37:B38"/>
  </mergeCells>
  <phoneticPr fontId="4" type="noConversion"/>
  <printOptions horizontalCentered="1"/>
  <pageMargins left="0.23622047244094491" right="0.23622047244094491" top="0.39370078740157483" bottom="0.39370078740157483" header="0" footer="0"/>
  <pageSetup paperSize="9" scale="50" fitToHeight="0" pageOrder="overThenDown" orientation="landscape" r:id="rId1"/>
  <rowBreaks count="2" manualBreakCount="2">
    <brk id="18" max="8" man="1"/>
    <brk id="38" max="8"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pageSetUpPr fitToPage="1"/>
  </sheetPr>
  <dimension ref="A1:I54"/>
  <sheetViews>
    <sheetView view="pageBreakPreview" zoomScale="70" zoomScaleNormal="90" zoomScaleSheetLayoutView="70" workbookViewId="0">
      <pane ySplit="3" topLeftCell="A4" activePane="bottomLeft" state="frozen"/>
      <selection pane="bottomLeft" activeCell="I4" sqref="I4"/>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customWidth="1"/>
    <col min="9" max="9" width="30.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232</v>
      </c>
      <c r="G2" s="389"/>
      <c r="H2" s="389"/>
      <c r="I2" s="390"/>
    </row>
    <row r="3" spans="1:9" s="10" customFormat="1" ht="50.1" customHeight="1" x14ac:dyDescent="0.25">
      <c r="A3" s="17" t="s">
        <v>23</v>
      </c>
      <c r="B3" s="15" t="s">
        <v>224</v>
      </c>
      <c r="C3" s="16" t="s">
        <v>22</v>
      </c>
      <c r="D3" s="14" t="s">
        <v>0</v>
      </c>
      <c r="E3" s="14" t="s">
        <v>2</v>
      </c>
      <c r="F3" s="14" t="s">
        <v>19</v>
      </c>
      <c r="G3" s="15" t="s">
        <v>1</v>
      </c>
      <c r="H3" s="15" t="s">
        <v>15</v>
      </c>
      <c r="I3" s="18" t="s">
        <v>16</v>
      </c>
    </row>
    <row r="4" spans="1:9" s="10" customFormat="1" ht="60" customHeight="1" x14ac:dyDescent="0.25">
      <c r="A4" s="696">
        <v>1</v>
      </c>
      <c r="B4" s="430">
        <v>44657</v>
      </c>
      <c r="C4" s="709">
        <v>2022040702001</v>
      </c>
      <c r="D4" s="698" t="s">
        <v>136</v>
      </c>
      <c r="E4" s="706" t="s">
        <v>233</v>
      </c>
      <c r="F4" s="706" t="s">
        <v>234</v>
      </c>
      <c r="G4" s="697">
        <v>44659</v>
      </c>
      <c r="H4" s="83" t="s">
        <v>37</v>
      </c>
      <c r="I4" s="41">
        <v>8376</v>
      </c>
    </row>
    <row r="5" spans="1:9" s="10" customFormat="1" ht="60" customHeight="1" x14ac:dyDescent="0.25">
      <c r="A5" s="696"/>
      <c r="B5" s="430"/>
      <c r="C5" s="709"/>
      <c r="D5" s="698"/>
      <c r="E5" s="706"/>
      <c r="F5" s="706"/>
      <c r="G5" s="697"/>
      <c r="H5" s="83" t="s">
        <v>38</v>
      </c>
      <c r="I5" s="42">
        <v>725</v>
      </c>
    </row>
    <row r="6" spans="1:9" s="10" customFormat="1" ht="99.9" customHeight="1" x14ac:dyDescent="0.25">
      <c r="A6" s="392">
        <v>1</v>
      </c>
      <c r="B6" s="430">
        <v>44663</v>
      </c>
      <c r="C6" s="712" t="s">
        <v>236</v>
      </c>
      <c r="D6" s="645" t="s">
        <v>136</v>
      </c>
      <c r="E6" s="383" t="s">
        <v>235</v>
      </c>
      <c r="F6" s="383" t="s">
        <v>243</v>
      </c>
      <c r="G6" s="578">
        <v>44668</v>
      </c>
      <c r="H6" s="82" t="s">
        <v>241</v>
      </c>
      <c r="I6" s="41">
        <f>38*155</f>
        <v>5890</v>
      </c>
    </row>
    <row r="7" spans="1:9" s="10" customFormat="1" ht="99.9" customHeight="1" x14ac:dyDescent="0.25">
      <c r="A7" s="392"/>
      <c r="B7" s="430"/>
      <c r="C7" s="712"/>
      <c r="D7" s="645"/>
      <c r="E7" s="383"/>
      <c r="F7" s="383"/>
      <c r="G7" s="578"/>
      <c r="H7" s="82" t="s">
        <v>242</v>
      </c>
      <c r="I7" s="41">
        <f>46*17</f>
        <v>782</v>
      </c>
    </row>
    <row r="8" spans="1:9" ht="80.099999999999994" customHeight="1" x14ac:dyDescent="0.25">
      <c r="A8" s="392">
        <v>3</v>
      </c>
      <c r="B8" s="430">
        <v>44665</v>
      </c>
      <c r="C8" s="709">
        <v>2022041402001</v>
      </c>
      <c r="D8" s="698" t="s">
        <v>136</v>
      </c>
      <c r="E8" s="706" t="s">
        <v>237</v>
      </c>
      <c r="F8" s="706" t="s">
        <v>238</v>
      </c>
      <c r="G8" s="697">
        <v>44669</v>
      </c>
      <c r="H8" s="83" t="s">
        <v>239</v>
      </c>
      <c r="I8" s="41">
        <f>8376*3</f>
        <v>25128</v>
      </c>
    </row>
    <row r="9" spans="1:9" ht="80.099999999999994" customHeight="1" thickBot="1" x14ac:dyDescent="0.3">
      <c r="A9" s="594"/>
      <c r="B9" s="685"/>
      <c r="C9" s="710"/>
      <c r="D9" s="711"/>
      <c r="E9" s="707"/>
      <c r="F9" s="707"/>
      <c r="G9" s="708"/>
      <c r="H9" s="85" t="s">
        <v>240</v>
      </c>
      <c r="I9" s="52">
        <f>725*3</f>
        <v>2175</v>
      </c>
    </row>
    <row r="10" spans="1:9" ht="15" x14ac:dyDescent="0.25">
      <c r="A10" s="2"/>
      <c r="B10" s="2"/>
      <c r="C10" s="2"/>
      <c r="D10" s="2"/>
      <c r="E10" s="2"/>
      <c r="F10" s="54"/>
      <c r="G10" s="3"/>
    </row>
    <row r="11" spans="1:9" ht="15" x14ac:dyDescent="0.25">
      <c r="A11" s="2"/>
      <c r="B11" s="2"/>
      <c r="C11" s="2"/>
      <c r="D11" s="2"/>
      <c r="E11" s="2"/>
      <c r="F11" s="54"/>
      <c r="G11" s="3"/>
    </row>
    <row r="12" spans="1:9" ht="15" x14ac:dyDescent="0.25">
      <c r="A12" s="2"/>
      <c r="B12" s="2"/>
      <c r="C12" s="2"/>
      <c r="D12" s="2"/>
      <c r="E12" s="2"/>
      <c r="F12" s="54"/>
      <c r="G12" s="3"/>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7" ht="15" x14ac:dyDescent="0.25">
      <c r="A17" s="2"/>
      <c r="B17" s="2"/>
      <c r="C17" s="2"/>
      <c r="D17" s="2"/>
      <c r="E17" s="2"/>
      <c r="F17" s="54"/>
      <c r="G17" s="3"/>
    </row>
    <row r="18" spans="1:7" ht="15" x14ac:dyDescent="0.25">
      <c r="A18" s="2"/>
      <c r="B18" s="2"/>
      <c r="C18" s="2"/>
      <c r="D18" s="2"/>
      <c r="E18" s="2"/>
      <c r="F18" s="54"/>
      <c r="G18" s="3"/>
    </row>
    <row r="19" spans="1:7" ht="15" x14ac:dyDescent="0.25">
      <c r="A19" s="2"/>
      <c r="B19" s="2"/>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sheetData>
  <autoFilter ref="A3:I3" xr:uid="{00000000-0009-0000-0000-00001F000000}"/>
  <mergeCells count="24">
    <mergeCell ref="A1:I1"/>
    <mergeCell ref="A2:E2"/>
    <mergeCell ref="F2:I2"/>
    <mergeCell ref="A6:A7"/>
    <mergeCell ref="B6:B7"/>
    <mergeCell ref="C6:C7"/>
    <mergeCell ref="D6:D7"/>
    <mergeCell ref="E6:E7"/>
    <mergeCell ref="F6:F7"/>
    <mergeCell ref="G6:G7"/>
    <mergeCell ref="F4:F5"/>
    <mergeCell ref="G4:G5"/>
    <mergeCell ref="F8:F9"/>
    <mergeCell ref="G8:G9"/>
    <mergeCell ref="A4:A5"/>
    <mergeCell ref="B4:B5"/>
    <mergeCell ref="C4:C5"/>
    <mergeCell ref="D4:D5"/>
    <mergeCell ref="E4:E5"/>
    <mergeCell ref="A8:A9"/>
    <mergeCell ref="B8:B9"/>
    <mergeCell ref="C8:C9"/>
    <mergeCell ref="D8:D9"/>
    <mergeCell ref="E8:E9"/>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pageSetUpPr fitToPage="1"/>
  </sheetPr>
  <dimension ref="A1:K67"/>
  <sheetViews>
    <sheetView view="pageBreakPreview" topLeftCell="C1" zoomScale="55" zoomScaleNormal="90" zoomScaleSheetLayoutView="55" workbookViewId="0">
      <pane ySplit="3" topLeftCell="A4" activePane="bottomLeft" state="frozen"/>
      <selection pane="bottomLeft" activeCell="H15" sqref="A15:XFD15"/>
    </sheetView>
  </sheetViews>
  <sheetFormatPr defaultColWidth="14.44140625" defaultRowHeight="15.75" customHeight="1" x14ac:dyDescent="0.25"/>
  <cols>
    <col min="1" max="1" width="8.33203125" bestFit="1" customWidth="1"/>
    <col min="2" max="2" width="25.6640625" customWidth="1"/>
    <col min="3" max="3" width="25.6640625" style="1" customWidth="1"/>
    <col min="4" max="5" width="25.6640625" customWidth="1"/>
    <col min="6" max="6" width="80.6640625" style="53" customWidth="1"/>
    <col min="7" max="7" width="25.6640625" customWidth="1"/>
    <col min="8" max="8" width="30.6640625" customWidth="1"/>
    <col min="9" max="9" width="30.6640625" style="12" customWidth="1"/>
  </cols>
  <sheetData>
    <row r="1" spans="1:11" ht="50.1" customHeight="1" thickBot="1" x14ac:dyDescent="0.3">
      <c r="A1" s="614" t="s">
        <v>11</v>
      </c>
      <c r="B1" s="614"/>
      <c r="C1" s="614"/>
      <c r="D1" s="614"/>
      <c r="E1" s="614"/>
      <c r="F1" s="614"/>
      <c r="G1" s="614"/>
      <c r="H1" s="614"/>
      <c r="I1" s="614"/>
    </row>
    <row r="2" spans="1:11" s="8" customFormat="1" ht="50.1" customHeight="1" x14ac:dyDescent="0.3">
      <c r="A2" s="387" t="s">
        <v>12</v>
      </c>
      <c r="B2" s="388"/>
      <c r="C2" s="388"/>
      <c r="D2" s="388"/>
      <c r="E2" s="388"/>
      <c r="F2" s="389" t="s">
        <v>201</v>
      </c>
      <c r="G2" s="389"/>
      <c r="H2" s="389"/>
      <c r="I2" s="390"/>
    </row>
    <row r="3" spans="1:11" s="10" customFormat="1" ht="50.1" customHeight="1" x14ac:dyDescent="0.25">
      <c r="A3" s="17" t="s">
        <v>23</v>
      </c>
      <c r="B3" s="15" t="s">
        <v>224</v>
      </c>
      <c r="C3" s="16" t="s">
        <v>22</v>
      </c>
      <c r="D3" s="14" t="s">
        <v>0</v>
      </c>
      <c r="E3" s="14" t="s">
        <v>2</v>
      </c>
      <c r="F3" s="14" t="s">
        <v>19</v>
      </c>
      <c r="G3" s="15" t="s">
        <v>1</v>
      </c>
      <c r="H3" s="15" t="s">
        <v>15</v>
      </c>
      <c r="I3" s="18" t="s">
        <v>16</v>
      </c>
    </row>
    <row r="4" spans="1:11" s="10" customFormat="1" ht="50.1" customHeight="1" x14ac:dyDescent="0.25">
      <c r="A4" s="392">
        <v>1</v>
      </c>
      <c r="B4" s="430">
        <v>44630</v>
      </c>
      <c r="C4" s="712" t="s">
        <v>202</v>
      </c>
      <c r="D4" s="645" t="s">
        <v>136</v>
      </c>
      <c r="E4" s="383" t="s">
        <v>203</v>
      </c>
      <c r="F4" s="383" t="s">
        <v>206</v>
      </c>
      <c r="G4" s="578">
        <v>44638</v>
      </c>
      <c r="H4" s="82" t="s">
        <v>216</v>
      </c>
      <c r="I4" s="41">
        <v>12844</v>
      </c>
    </row>
    <row r="5" spans="1:11" s="10" customFormat="1" ht="50.1" customHeight="1" x14ac:dyDescent="0.25">
      <c r="A5" s="392"/>
      <c r="B5" s="430"/>
      <c r="C5" s="712"/>
      <c r="D5" s="645"/>
      <c r="E5" s="383"/>
      <c r="F5" s="383"/>
      <c r="G5" s="578"/>
      <c r="H5" s="82" t="s">
        <v>217</v>
      </c>
      <c r="I5" s="41">
        <v>276</v>
      </c>
    </row>
    <row r="6" spans="1:11" s="10" customFormat="1" ht="50.1" customHeight="1" x14ac:dyDescent="0.25">
      <c r="A6" s="392"/>
      <c r="B6" s="430"/>
      <c r="C6" s="712"/>
      <c r="D6" s="645"/>
      <c r="E6" s="383"/>
      <c r="F6" s="383"/>
      <c r="G6" s="578"/>
      <c r="H6" s="82" t="s">
        <v>218</v>
      </c>
      <c r="I6" s="41">
        <v>5388</v>
      </c>
    </row>
    <row r="7" spans="1:11" s="10" customFormat="1" ht="50.1" customHeight="1" x14ac:dyDescent="0.25">
      <c r="A7" s="392"/>
      <c r="B7" s="430"/>
      <c r="C7" s="712"/>
      <c r="D7" s="645"/>
      <c r="E7" s="383"/>
      <c r="F7" s="383"/>
      <c r="G7" s="578"/>
      <c r="H7" s="83" t="s">
        <v>213</v>
      </c>
      <c r="I7" s="41">
        <v>25128</v>
      </c>
    </row>
    <row r="8" spans="1:11" s="10" customFormat="1" ht="50.1" customHeight="1" x14ac:dyDescent="0.25">
      <c r="A8" s="392"/>
      <c r="B8" s="430"/>
      <c r="C8" s="712"/>
      <c r="D8" s="645"/>
      <c r="E8" s="383"/>
      <c r="F8" s="383"/>
      <c r="G8" s="578"/>
      <c r="H8" s="83" t="s">
        <v>214</v>
      </c>
      <c r="I8" s="41">
        <v>2175</v>
      </c>
    </row>
    <row r="9" spans="1:11" s="10" customFormat="1" ht="50.1" customHeight="1" x14ac:dyDescent="0.25">
      <c r="A9" s="392"/>
      <c r="B9" s="430"/>
      <c r="C9" s="712"/>
      <c r="D9" s="645"/>
      <c r="E9" s="383"/>
      <c r="F9" s="383"/>
      <c r="G9" s="578"/>
      <c r="H9" s="83" t="s">
        <v>215</v>
      </c>
      <c r="I9" s="41">
        <v>447</v>
      </c>
    </row>
    <row r="10" spans="1:11" s="10" customFormat="1" ht="50.1" customHeight="1" x14ac:dyDescent="0.25">
      <c r="A10" s="392"/>
      <c r="B10" s="430"/>
      <c r="C10" s="712"/>
      <c r="D10" s="645"/>
      <c r="E10" s="383"/>
      <c r="F10" s="383"/>
      <c r="G10" s="578"/>
      <c r="H10" s="84" t="s">
        <v>223</v>
      </c>
      <c r="I10" s="41">
        <v>132</v>
      </c>
      <c r="K10" s="10" t="s">
        <v>219</v>
      </c>
    </row>
    <row r="11" spans="1:11" s="10" customFormat="1" ht="50.1" customHeight="1" x14ac:dyDescent="0.25">
      <c r="A11" s="405">
        <v>2</v>
      </c>
      <c r="B11" s="416">
        <v>44641</v>
      </c>
      <c r="C11" s="726" t="s">
        <v>230</v>
      </c>
      <c r="D11" s="648" t="s">
        <v>204</v>
      </c>
      <c r="E11" s="465" t="s">
        <v>205</v>
      </c>
      <c r="F11" s="383" t="s">
        <v>227</v>
      </c>
      <c r="G11" s="416">
        <v>44648</v>
      </c>
      <c r="H11" s="82" t="s">
        <v>220</v>
      </c>
      <c r="I11" s="41">
        <v>570</v>
      </c>
    </row>
    <row r="12" spans="1:11" s="10" customFormat="1" ht="50.1" customHeight="1" x14ac:dyDescent="0.25">
      <c r="A12" s="406"/>
      <c r="B12" s="678"/>
      <c r="C12" s="727"/>
      <c r="D12" s="694"/>
      <c r="E12" s="490"/>
      <c r="F12" s="383"/>
      <c r="G12" s="678"/>
      <c r="H12" s="82" t="s">
        <v>217</v>
      </c>
      <c r="I12" s="41">
        <v>276</v>
      </c>
    </row>
    <row r="13" spans="1:11" s="10" customFormat="1" ht="50.1" customHeight="1" x14ac:dyDescent="0.25">
      <c r="A13" s="406"/>
      <c r="B13" s="678"/>
      <c r="C13" s="727"/>
      <c r="D13" s="694"/>
      <c r="E13" s="490"/>
      <c r="F13" s="383"/>
      <c r="G13" s="678"/>
      <c r="H13" s="82" t="s">
        <v>221</v>
      </c>
      <c r="I13" s="41">
        <v>1347</v>
      </c>
    </row>
    <row r="14" spans="1:11" s="10" customFormat="1" ht="99.9" customHeight="1" x14ac:dyDescent="0.25">
      <c r="A14" s="411"/>
      <c r="B14" s="417"/>
      <c r="C14" s="728"/>
      <c r="D14" s="695"/>
      <c r="E14" s="466"/>
      <c r="F14" s="81" t="s">
        <v>212</v>
      </c>
      <c r="G14" s="417"/>
      <c r="H14" s="83" t="s">
        <v>222</v>
      </c>
      <c r="I14" s="41">
        <v>1169</v>
      </c>
    </row>
    <row r="15" spans="1:11" ht="50.1" customHeight="1" x14ac:dyDescent="0.25">
      <c r="A15" s="392">
        <v>3</v>
      </c>
      <c r="B15" s="716" t="s">
        <v>225</v>
      </c>
      <c r="C15" s="709">
        <v>2022032402001</v>
      </c>
      <c r="D15" s="698" t="s">
        <v>136</v>
      </c>
      <c r="E15" s="706" t="s">
        <v>207</v>
      </c>
      <c r="F15" s="706" t="s">
        <v>211</v>
      </c>
      <c r="G15" s="697">
        <v>44648</v>
      </c>
      <c r="H15" s="83" t="s">
        <v>37</v>
      </c>
      <c r="I15" s="41">
        <v>8376</v>
      </c>
    </row>
    <row r="16" spans="1:11" ht="50.1" customHeight="1" x14ac:dyDescent="0.25">
      <c r="A16" s="392"/>
      <c r="B16" s="716"/>
      <c r="C16" s="709"/>
      <c r="D16" s="698"/>
      <c r="E16" s="706"/>
      <c r="F16" s="706"/>
      <c r="G16" s="697"/>
      <c r="H16" s="83" t="s">
        <v>38</v>
      </c>
      <c r="I16" s="42">
        <v>725</v>
      </c>
    </row>
    <row r="17" spans="1:9" ht="50.1" customHeight="1" x14ac:dyDescent="0.25">
      <c r="A17" s="392">
        <v>4</v>
      </c>
      <c r="B17" s="716" t="s">
        <v>225</v>
      </c>
      <c r="C17" s="709">
        <v>2022032402002</v>
      </c>
      <c r="D17" s="698" t="s">
        <v>136</v>
      </c>
      <c r="E17" s="706" t="s">
        <v>208</v>
      </c>
      <c r="F17" s="706" t="s">
        <v>211</v>
      </c>
      <c r="G17" s="697">
        <v>44648</v>
      </c>
      <c r="H17" s="83" t="s">
        <v>37</v>
      </c>
      <c r="I17" s="41">
        <v>8376</v>
      </c>
    </row>
    <row r="18" spans="1:9" ht="50.1" customHeight="1" x14ac:dyDescent="0.25">
      <c r="A18" s="392"/>
      <c r="B18" s="716"/>
      <c r="C18" s="709"/>
      <c r="D18" s="698"/>
      <c r="E18" s="706"/>
      <c r="F18" s="706"/>
      <c r="G18" s="697"/>
      <c r="H18" s="83" t="s">
        <v>38</v>
      </c>
      <c r="I18" s="42">
        <v>725</v>
      </c>
    </row>
    <row r="19" spans="1:9" ht="50.1" customHeight="1" x14ac:dyDescent="0.25">
      <c r="A19" s="405">
        <v>5</v>
      </c>
      <c r="B19" s="717" t="s">
        <v>226</v>
      </c>
      <c r="C19" s="720" t="s">
        <v>231</v>
      </c>
      <c r="D19" s="723" t="s">
        <v>136</v>
      </c>
      <c r="E19" s="706" t="s">
        <v>209</v>
      </c>
      <c r="F19" s="706" t="s">
        <v>211</v>
      </c>
      <c r="G19" s="713">
        <v>44651</v>
      </c>
      <c r="H19" s="729" t="s">
        <v>228</v>
      </c>
      <c r="I19" s="731">
        <f>8376*2</f>
        <v>16752</v>
      </c>
    </row>
    <row r="20" spans="1:9" ht="50.1" customHeight="1" x14ac:dyDescent="0.25">
      <c r="A20" s="406"/>
      <c r="B20" s="718"/>
      <c r="C20" s="721"/>
      <c r="D20" s="724"/>
      <c r="E20" s="706"/>
      <c r="F20" s="706"/>
      <c r="G20" s="714"/>
      <c r="H20" s="730"/>
      <c r="I20" s="732"/>
    </row>
    <row r="21" spans="1:9" ht="50.1" customHeight="1" x14ac:dyDescent="0.25">
      <c r="A21" s="406"/>
      <c r="B21" s="718"/>
      <c r="C21" s="721"/>
      <c r="D21" s="724"/>
      <c r="E21" s="706" t="s">
        <v>210</v>
      </c>
      <c r="F21" s="706" t="s">
        <v>211</v>
      </c>
      <c r="G21" s="714"/>
      <c r="H21" s="729" t="s">
        <v>229</v>
      </c>
      <c r="I21" s="733">
        <f>725*2</f>
        <v>1450</v>
      </c>
    </row>
    <row r="22" spans="1:9" ht="50.1" customHeight="1" thickBot="1" x14ac:dyDescent="0.3">
      <c r="A22" s="660"/>
      <c r="B22" s="719"/>
      <c r="C22" s="722"/>
      <c r="D22" s="725"/>
      <c r="E22" s="707"/>
      <c r="F22" s="707"/>
      <c r="G22" s="715"/>
      <c r="H22" s="545"/>
      <c r="I22" s="734"/>
    </row>
    <row r="23" spans="1:9" ht="15" x14ac:dyDescent="0.25">
      <c r="A23" s="2"/>
      <c r="B23" s="2"/>
      <c r="C23" s="2"/>
      <c r="D23" s="2"/>
      <c r="E23" s="2"/>
      <c r="F23" s="54"/>
      <c r="G23" s="3"/>
    </row>
    <row r="24" spans="1:9" ht="15" x14ac:dyDescent="0.25">
      <c r="A24" s="2"/>
      <c r="B24" s="2"/>
      <c r="C24" s="2"/>
      <c r="D24" s="2"/>
      <c r="E24" s="2"/>
      <c r="F24" s="54"/>
      <c r="G24" s="3"/>
    </row>
    <row r="25" spans="1:9" ht="15" x14ac:dyDescent="0.25">
      <c r="A25" s="2"/>
      <c r="B25" s="2"/>
      <c r="C25" s="2"/>
      <c r="D25" s="2"/>
      <c r="E25" s="2"/>
      <c r="F25" s="54"/>
      <c r="G25" s="3"/>
    </row>
    <row r="26" spans="1:9" ht="15" x14ac:dyDescent="0.25">
      <c r="A26" s="2"/>
      <c r="B26" s="2"/>
      <c r="C26" s="2"/>
      <c r="D26" s="2"/>
      <c r="E26" s="2"/>
      <c r="F26" s="54"/>
      <c r="G26" s="3"/>
    </row>
    <row r="27" spans="1:9" ht="15" x14ac:dyDescent="0.25">
      <c r="A27" s="2"/>
      <c r="B27" s="2"/>
      <c r="C27" s="2"/>
      <c r="D27" s="2"/>
      <c r="E27" s="2"/>
      <c r="F27" s="54"/>
      <c r="G27" s="3"/>
    </row>
    <row r="28" spans="1:9" ht="15" x14ac:dyDescent="0.25">
      <c r="A28" s="2"/>
      <c r="B28" s="2"/>
      <c r="C28" s="2"/>
      <c r="D28" s="2"/>
      <c r="E28" s="2"/>
      <c r="F28" s="54"/>
      <c r="G28" s="3"/>
    </row>
    <row r="29" spans="1:9" ht="15" x14ac:dyDescent="0.25">
      <c r="A29" s="2"/>
      <c r="B29" s="2"/>
      <c r="C29" s="2"/>
      <c r="D29" s="2"/>
      <c r="E29" s="2"/>
      <c r="F29" s="54"/>
      <c r="G29" s="3"/>
    </row>
    <row r="30" spans="1:9" ht="15" x14ac:dyDescent="0.25">
      <c r="A30" s="2"/>
      <c r="B30" s="2"/>
      <c r="C30" s="2"/>
      <c r="D30" s="2"/>
      <c r="E30" s="2"/>
      <c r="F30" s="54"/>
      <c r="G30" s="3"/>
    </row>
    <row r="31" spans="1:9" ht="15" x14ac:dyDescent="0.25">
      <c r="A31" s="2"/>
      <c r="B31" s="2"/>
      <c r="C31" s="2"/>
      <c r="D31" s="2"/>
      <c r="E31" s="2"/>
      <c r="F31" s="54"/>
      <c r="G31" s="3"/>
    </row>
    <row r="32" spans="1:9"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sheetData>
  <autoFilter ref="A3:I3" xr:uid="{00000000-0009-0000-0000-000020000000}"/>
  <mergeCells count="44">
    <mergeCell ref="H19:H20"/>
    <mergeCell ref="H21:H22"/>
    <mergeCell ref="I19:I20"/>
    <mergeCell ref="I21:I22"/>
    <mergeCell ref="A1:I1"/>
    <mergeCell ref="A2:E2"/>
    <mergeCell ref="F2:I2"/>
    <mergeCell ref="A15:A16"/>
    <mergeCell ref="B15:B16"/>
    <mergeCell ref="C15:C16"/>
    <mergeCell ref="D15:D16"/>
    <mergeCell ref="E15:E16"/>
    <mergeCell ref="F15:F16"/>
    <mergeCell ref="G15:G16"/>
    <mergeCell ref="A11:A14"/>
    <mergeCell ref="B11:B14"/>
    <mergeCell ref="C11:C14"/>
    <mergeCell ref="D11:D14"/>
    <mergeCell ref="E11:E14"/>
    <mergeCell ref="G11:G14"/>
    <mergeCell ref="G17:G18"/>
    <mergeCell ref="F17:F18"/>
    <mergeCell ref="A19:A22"/>
    <mergeCell ref="B19:B22"/>
    <mergeCell ref="E21:E22"/>
    <mergeCell ref="F21:F22"/>
    <mergeCell ref="C19:C22"/>
    <mergeCell ref="D19:D22"/>
    <mergeCell ref="A4:A10"/>
    <mergeCell ref="C4:C10"/>
    <mergeCell ref="D4:D10"/>
    <mergeCell ref="E4:E10"/>
    <mergeCell ref="G19:G22"/>
    <mergeCell ref="F4:F10"/>
    <mergeCell ref="G4:G10"/>
    <mergeCell ref="F11:F13"/>
    <mergeCell ref="B4:B10"/>
    <mergeCell ref="E19:E20"/>
    <mergeCell ref="F19:F20"/>
    <mergeCell ref="A17:A18"/>
    <mergeCell ref="B17:B18"/>
    <mergeCell ref="C17:C18"/>
    <mergeCell ref="D17:D18"/>
    <mergeCell ref="E17:E18"/>
  </mergeCells>
  <phoneticPr fontId="4" type="noConversion"/>
  <printOptions horizontalCentered="1"/>
  <pageMargins left="0.23622047244094491" right="0.23622047244094491" top="0.59055118110236227" bottom="0.74803149606299213" header="0.31496062992125984" footer="0.31496062992125984"/>
  <pageSetup paperSize="9" scale="52" fitToHeight="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pageSetUpPr fitToPage="1"/>
  </sheetPr>
  <dimension ref="A1:I70"/>
  <sheetViews>
    <sheetView view="pageBreakPreview" zoomScale="70" zoomScaleNormal="90" zoomScaleSheetLayoutView="70" workbookViewId="0">
      <pane ySplit="3" topLeftCell="A4" activePane="bottomLeft" state="frozen"/>
      <selection pane="bottomLeft" activeCell="I19" sqref="I19"/>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197</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ht="50.1" customHeight="1" x14ac:dyDescent="0.25">
      <c r="A4" s="392">
        <v>1</v>
      </c>
      <c r="B4" s="716" t="s">
        <v>198</v>
      </c>
      <c r="C4" s="709">
        <v>2022021702001</v>
      </c>
      <c r="D4" s="698" t="s">
        <v>136</v>
      </c>
      <c r="E4" s="738" t="s">
        <v>199</v>
      </c>
      <c r="F4" s="735" t="s">
        <v>200</v>
      </c>
      <c r="G4" s="697">
        <v>44613</v>
      </c>
      <c r="H4" s="39" t="s">
        <v>37</v>
      </c>
      <c r="I4" s="41">
        <v>8376</v>
      </c>
    </row>
    <row r="5" spans="1:9" ht="50.1" customHeight="1" thickBot="1" x14ac:dyDescent="0.3">
      <c r="A5" s="594"/>
      <c r="B5" s="737"/>
      <c r="C5" s="710"/>
      <c r="D5" s="711"/>
      <c r="E5" s="739"/>
      <c r="F5" s="736"/>
      <c r="G5" s="708"/>
      <c r="H5" s="44" t="s">
        <v>38</v>
      </c>
      <c r="I5" s="52">
        <v>725</v>
      </c>
    </row>
    <row r="6" spans="1:9" ht="15.6" x14ac:dyDescent="0.3">
      <c r="A6" s="2"/>
      <c r="B6" s="6"/>
      <c r="C6" s="2"/>
      <c r="D6" s="2"/>
      <c r="E6" s="2" t="s">
        <v>172</v>
      </c>
      <c r="F6" s="54"/>
      <c r="G6" s="3"/>
    </row>
    <row r="7" spans="1:9" ht="15.6" x14ac:dyDescent="0.3">
      <c r="A7" s="2"/>
      <c r="B7" s="6"/>
      <c r="C7" s="2"/>
      <c r="D7" s="2"/>
      <c r="E7" s="2"/>
      <c r="F7" s="54"/>
      <c r="G7" s="3"/>
    </row>
    <row r="8" spans="1:9" ht="15.6" x14ac:dyDescent="0.3">
      <c r="A8" s="2"/>
      <c r="B8" s="6"/>
      <c r="C8" s="2"/>
      <c r="D8" s="2"/>
      <c r="E8" s="2"/>
      <c r="F8" s="54"/>
      <c r="G8" s="3"/>
    </row>
    <row r="9" spans="1:9" ht="15" x14ac:dyDescent="0.25">
      <c r="A9" s="2"/>
      <c r="B9" s="2"/>
      <c r="C9" s="2"/>
      <c r="D9" s="2"/>
      <c r="E9" s="2"/>
      <c r="F9" s="54"/>
      <c r="G9" s="3"/>
    </row>
    <row r="10" spans="1:9" ht="15" x14ac:dyDescent="0.25">
      <c r="A10" s="2"/>
      <c r="B10" s="2"/>
      <c r="C10" s="2"/>
      <c r="D10" s="2"/>
      <c r="E10" s="2"/>
      <c r="F10" s="54"/>
      <c r="G10" s="3"/>
    </row>
    <row r="11" spans="1:9" ht="15" x14ac:dyDescent="0.25">
      <c r="A11" s="2"/>
      <c r="B11" s="2"/>
      <c r="C11" s="2"/>
      <c r="D11" s="2"/>
      <c r="E11" s="2"/>
      <c r="F11" s="54"/>
      <c r="G11" s="3"/>
    </row>
    <row r="12" spans="1:9" ht="15" x14ac:dyDescent="0.25">
      <c r="A12" s="2"/>
      <c r="B12" s="2"/>
      <c r="C12" s="2"/>
      <c r="D12" s="2"/>
      <c r="E12" s="2"/>
      <c r="F12" s="54"/>
      <c r="G12" s="3"/>
    </row>
    <row r="13" spans="1:9" ht="15" x14ac:dyDescent="0.25">
      <c r="A13" s="2"/>
      <c r="B13" s="2"/>
      <c r="C13" s="2"/>
      <c r="D13" s="2"/>
      <c r="E13" s="2"/>
      <c r="F13" s="54"/>
      <c r="G13" s="3"/>
    </row>
    <row r="14" spans="1:9" ht="15" x14ac:dyDescent="0.25">
      <c r="A14" s="2"/>
      <c r="B14" s="2"/>
      <c r="C14" s="2"/>
      <c r="D14" s="2"/>
      <c r="E14" s="2"/>
      <c r="F14" s="54"/>
      <c r="G14" s="3"/>
    </row>
    <row r="15" spans="1:9" ht="15" x14ac:dyDescent="0.25">
      <c r="A15" s="2"/>
      <c r="B15" s="2"/>
      <c r="C15" s="2"/>
      <c r="D15" s="2"/>
      <c r="E15" s="2"/>
      <c r="F15" s="54"/>
      <c r="G15" s="3"/>
    </row>
    <row r="16" spans="1:9" ht="15" x14ac:dyDescent="0.25">
      <c r="A16" s="2"/>
      <c r="B16" s="2"/>
      <c r="C16" s="2"/>
      <c r="D16" s="2"/>
      <c r="E16" s="2"/>
      <c r="F16" s="54"/>
      <c r="G16" s="3"/>
    </row>
    <row r="17" spans="1:7" ht="15" x14ac:dyDescent="0.25">
      <c r="A17" s="2"/>
      <c r="B17" s="2"/>
      <c r="C17" s="2"/>
      <c r="D17" s="2"/>
      <c r="E17" s="2"/>
      <c r="F17" s="54"/>
      <c r="G17" s="3"/>
    </row>
    <row r="18" spans="1:7" ht="15" x14ac:dyDescent="0.25">
      <c r="A18" s="2"/>
      <c r="B18" s="2"/>
      <c r="C18" s="2"/>
      <c r="D18" s="2"/>
      <c r="E18" s="2"/>
      <c r="F18" s="54"/>
      <c r="G18" s="3"/>
    </row>
    <row r="19" spans="1:7" ht="15" x14ac:dyDescent="0.25">
      <c r="A19" s="2"/>
      <c r="B19" s="2"/>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sheetData>
  <autoFilter ref="A3:I3" xr:uid="{00000000-0009-0000-0000-000021000000}"/>
  <mergeCells count="10">
    <mergeCell ref="F4:F5"/>
    <mergeCell ref="G4:G5"/>
    <mergeCell ref="A1:I1"/>
    <mergeCell ref="A2:E2"/>
    <mergeCell ref="F2:I2"/>
    <mergeCell ref="A4:A5"/>
    <mergeCell ref="B4:B5"/>
    <mergeCell ref="C4:C5"/>
    <mergeCell ref="D4:D5"/>
    <mergeCell ref="E4:E5"/>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pageSetUpPr fitToPage="1"/>
  </sheetPr>
  <dimension ref="A1:I80"/>
  <sheetViews>
    <sheetView view="pageBreakPreview" zoomScale="90" zoomScaleNormal="90" zoomScaleSheetLayoutView="90" workbookViewId="0">
      <pane ySplit="3" topLeftCell="A7" activePane="bottomLeft" state="frozen"/>
      <selection pane="bottomLeft" activeCell="H9" sqref="H9"/>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191</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s="10" customFormat="1" ht="99.9" customHeight="1" x14ac:dyDescent="0.25">
      <c r="A4" s="19">
        <v>1</v>
      </c>
      <c r="B4" s="77" t="s">
        <v>184</v>
      </c>
      <c r="C4" s="78">
        <v>2022010602003</v>
      </c>
      <c r="D4" s="73" t="s">
        <v>174</v>
      </c>
      <c r="E4" s="79" t="s">
        <v>173</v>
      </c>
      <c r="F4" s="74" t="s">
        <v>179</v>
      </c>
      <c r="G4" s="58">
        <v>44573</v>
      </c>
      <c r="H4" s="39" t="s">
        <v>42</v>
      </c>
      <c r="I4" s="41">
        <v>1485</v>
      </c>
    </row>
    <row r="5" spans="1:9" s="11" customFormat="1" ht="50.1" customHeight="1" x14ac:dyDescent="0.25">
      <c r="A5" s="392">
        <v>2</v>
      </c>
      <c r="B5" s="716" t="s">
        <v>184</v>
      </c>
      <c r="C5" s="709">
        <v>2022010602002</v>
      </c>
      <c r="D5" s="698" t="s">
        <v>136</v>
      </c>
      <c r="E5" s="738" t="s">
        <v>175</v>
      </c>
      <c r="F5" s="735" t="s">
        <v>180</v>
      </c>
      <c r="G5" s="697">
        <v>44572</v>
      </c>
      <c r="H5" s="39" t="s">
        <v>37</v>
      </c>
      <c r="I5" s="41">
        <v>8376</v>
      </c>
    </row>
    <row r="6" spans="1:9" ht="50.1" customHeight="1" x14ac:dyDescent="0.25">
      <c r="A6" s="392"/>
      <c r="B6" s="716"/>
      <c r="C6" s="709"/>
      <c r="D6" s="698"/>
      <c r="E6" s="738"/>
      <c r="F6" s="735"/>
      <c r="G6" s="697"/>
      <c r="H6" s="39" t="s">
        <v>38</v>
      </c>
      <c r="I6" s="42">
        <v>725</v>
      </c>
    </row>
    <row r="7" spans="1:9" ht="50.1" customHeight="1" x14ac:dyDescent="0.25">
      <c r="A7" s="740">
        <v>3</v>
      </c>
      <c r="B7" s="716" t="s">
        <v>185</v>
      </c>
      <c r="C7" s="709">
        <v>2022010602001</v>
      </c>
      <c r="D7" s="698" t="s">
        <v>44</v>
      </c>
      <c r="E7" s="738" t="s">
        <v>176</v>
      </c>
      <c r="F7" s="735" t="s">
        <v>181</v>
      </c>
      <c r="G7" s="697">
        <v>44571</v>
      </c>
      <c r="H7" s="39" t="s">
        <v>37</v>
      </c>
      <c r="I7" s="41">
        <v>8376</v>
      </c>
    </row>
    <row r="8" spans="1:9" ht="50.1" customHeight="1" x14ac:dyDescent="0.25">
      <c r="A8" s="740"/>
      <c r="B8" s="716"/>
      <c r="C8" s="709"/>
      <c r="D8" s="698"/>
      <c r="E8" s="738"/>
      <c r="F8" s="735"/>
      <c r="G8" s="697"/>
      <c r="H8" s="39" t="s">
        <v>38</v>
      </c>
      <c r="I8" s="42">
        <v>725</v>
      </c>
    </row>
    <row r="9" spans="1:9" ht="99.9" customHeight="1" x14ac:dyDescent="0.25">
      <c r="A9" s="19">
        <v>4</v>
      </c>
      <c r="B9" s="77" t="s">
        <v>186</v>
      </c>
      <c r="C9" s="72">
        <v>2022010602005</v>
      </c>
      <c r="D9" s="73" t="s">
        <v>174</v>
      </c>
      <c r="E9" s="75" t="s">
        <v>177</v>
      </c>
      <c r="F9" s="74" t="s">
        <v>182</v>
      </c>
      <c r="G9" s="58">
        <v>44570</v>
      </c>
      <c r="H9" s="39" t="s">
        <v>188</v>
      </c>
      <c r="I9" s="41">
        <v>275</v>
      </c>
    </row>
    <row r="10" spans="1:9" ht="50.1" customHeight="1" x14ac:dyDescent="0.25">
      <c r="A10" s="392">
        <v>5</v>
      </c>
      <c r="B10" s="716" t="s">
        <v>187</v>
      </c>
      <c r="C10" s="709">
        <v>2022011202002</v>
      </c>
      <c r="D10" s="698" t="s">
        <v>174</v>
      </c>
      <c r="E10" s="735" t="s">
        <v>178</v>
      </c>
      <c r="F10" s="735" t="s">
        <v>183</v>
      </c>
      <c r="G10" s="697">
        <v>44577</v>
      </c>
      <c r="H10" s="39" t="s">
        <v>189</v>
      </c>
      <c r="I10" s="41">
        <v>304</v>
      </c>
    </row>
    <row r="11" spans="1:9" ht="50.1" customHeight="1" x14ac:dyDescent="0.25">
      <c r="A11" s="392"/>
      <c r="B11" s="716"/>
      <c r="C11" s="709"/>
      <c r="D11" s="698"/>
      <c r="E11" s="735"/>
      <c r="F11" s="735"/>
      <c r="G11" s="697"/>
      <c r="H11" s="80" t="s">
        <v>190</v>
      </c>
      <c r="I11" s="41">
        <v>92</v>
      </c>
    </row>
    <row r="12" spans="1:9" ht="50.1" customHeight="1" x14ac:dyDescent="0.25">
      <c r="A12" s="392">
        <v>6</v>
      </c>
      <c r="B12" s="716" t="s">
        <v>194</v>
      </c>
      <c r="C12" s="709">
        <v>2022012202002</v>
      </c>
      <c r="D12" s="698" t="s">
        <v>136</v>
      </c>
      <c r="E12" s="738" t="s">
        <v>192</v>
      </c>
      <c r="F12" s="735" t="s">
        <v>193</v>
      </c>
      <c r="G12" s="697">
        <v>44586</v>
      </c>
      <c r="H12" s="39" t="s">
        <v>37</v>
      </c>
      <c r="I12" s="41">
        <v>8376</v>
      </c>
    </row>
    <row r="13" spans="1:9" ht="50.1" customHeight="1" x14ac:dyDescent="0.25">
      <c r="A13" s="392"/>
      <c r="B13" s="716"/>
      <c r="C13" s="709"/>
      <c r="D13" s="698"/>
      <c r="E13" s="738"/>
      <c r="F13" s="735"/>
      <c r="G13" s="697"/>
      <c r="H13" s="39" t="s">
        <v>38</v>
      </c>
      <c r="I13" s="42">
        <v>725</v>
      </c>
    </row>
    <row r="14" spans="1:9" ht="50.1" customHeight="1" x14ac:dyDescent="0.25">
      <c r="A14" s="392">
        <v>7</v>
      </c>
      <c r="B14" s="716" t="s">
        <v>194</v>
      </c>
      <c r="C14" s="709">
        <v>2022012202001</v>
      </c>
      <c r="D14" s="698" t="s">
        <v>136</v>
      </c>
      <c r="E14" s="738" t="s">
        <v>195</v>
      </c>
      <c r="F14" s="735" t="s">
        <v>196</v>
      </c>
      <c r="G14" s="697">
        <v>44586</v>
      </c>
      <c r="H14" s="39" t="s">
        <v>37</v>
      </c>
      <c r="I14" s="41">
        <v>8376</v>
      </c>
    </row>
    <row r="15" spans="1:9" ht="50.1" customHeight="1" thickBot="1" x14ac:dyDescent="0.3">
      <c r="A15" s="594"/>
      <c r="B15" s="737"/>
      <c r="C15" s="710"/>
      <c r="D15" s="711"/>
      <c r="E15" s="739"/>
      <c r="F15" s="736"/>
      <c r="G15" s="708"/>
      <c r="H15" s="44" t="s">
        <v>38</v>
      </c>
      <c r="I15" s="52">
        <v>725</v>
      </c>
    </row>
    <row r="16" spans="1:9" ht="15.6" x14ac:dyDescent="0.3">
      <c r="A16" s="2"/>
      <c r="B16" s="6"/>
      <c r="C16" s="2"/>
      <c r="D16" s="2"/>
      <c r="E16" s="2" t="s">
        <v>172</v>
      </c>
      <c r="F16" s="54"/>
      <c r="G16" s="3"/>
    </row>
    <row r="17" spans="1:7" ht="15.6" x14ac:dyDescent="0.3">
      <c r="A17" s="2"/>
      <c r="B17" s="6"/>
      <c r="C17" s="2"/>
      <c r="D17" s="2"/>
      <c r="E17" s="2"/>
      <c r="F17" s="54"/>
      <c r="G17" s="3"/>
    </row>
    <row r="18" spans="1:7" ht="15.6" x14ac:dyDescent="0.3">
      <c r="A18" s="2"/>
      <c r="B18" s="6"/>
      <c r="C18" s="2"/>
      <c r="D18" s="2"/>
      <c r="E18" s="2"/>
      <c r="F18" s="54"/>
      <c r="G18" s="3"/>
    </row>
    <row r="19" spans="1:7" ht="15" x14ac:dyDescent="0.25">
      <c r="A19" s="2"/>
      <c r="B19" s="2"/>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row r="79" spans="1:7" ht="15" x14ac:dyDescent="0.25">
      <c r="A79" s="2"/>
      <c r="B79" s="2"/>
      <c r="C79" s="2"/>
      <c r="D79" s="2"/>
      <c r="E79" s="2"/>
      <c r="F79" s="54"/>
      <c r="G79" s="3"/>
    </row>
    <row r="80" spans="1:7" ht="15" x14ac:dyDescent="0.25">
      <c r="A80" s="2"/>
      <c r="B80" s="2"/>
      <c r="C80" s="2"/>
      <c r="D80" s="2"/>
      <c r="E80" s="2"/>
      <c r="F80" s="54"/>
      <c r="G80" s="3"/>
    </row>
  </sheetData>
  <autoFilter ref="A3:I3" xr:uid="{00000000-0009-0000-0000-000022000000}"/>
  <mergeCells count="38">
    <mergeCell ref="A10:A11"/>
    <mergeCell ref="G10:G11"/>
    <mergeCell ref="G7:G8"/>
    <mergeCell ref="F10:F11"/>
    <mergeCell ref="E10:E11"/>
    <mergeCell ref="D10:D11"/>
    <mergeCell ref="C10:C11"/>
    <mergeCell ref="B10:B11"/>
    <mergeCell ref="A7:A8"/>
    <mergeCell ref="B7:B8"/>
    <mergeCell ref="C7:C8"/>
    <mergeCell ref="D7:D8"/>
    <mergeCell ref="E7:E8"/>
    <mergeCell ref="F7:F8"/>
    <mergeCell ref="A1:I1"/>
    <mergeCell ref="A2:E2"/>
    <mergeCell ref="F2:I2"/>
    <mergeCell ref="A5:A6"/>
    <mergeCell ref="B5:B6"/>
    <mergeCell ref="C5:C6"/>
    <mergeCell ref="D5:D6"/>
    <mergeCell ref="E5:E6"/>
    <mergeCell ref="F5:F6"/>
    <mergeCell ref="G5:G6"/>
    <mergeCell ref="F12:F13"/>
    <mergeCell ref="G12:G13"/>
    <mergeCell ref="A14:A15"/>
    <mergeCell ref="B14:B15"/>
    <mergeCell ref="C14:C15"/>
    <mergeCell ref="D14:D15"/>
    <mergeCell ref="E14:E15"/>
    <mergeCell ref="F14:F15"/>
    <mergeCell ref="G14:G15"/>
    <mergeCell ref="A12:A13"/>
    <mergeCell ref="B12:B13"/>
    <mergeCell ref="C12:C13"/>
    <mergeCell ref="D12:D13"/>
    <mergeCell ref="E12:E13"/>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pageSetUpPr fitToPage="1"/>
  </sheetPr>
  <dimension ref="A1:I78"/>
  <sheetViews>
    <sheetView view="pageBreakPreview" zoomScale="70" zoomScaleNormal="90" zoomScaleSheetLayoutView="70" workbookViewId="0">
      <pane ySplit="3" topLeftCell="A4" activePane="bottomLeft" state="frozen"/>
      <selection pane="bottomLeft" activeCell="G4" sqref="G4:G5"/>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167</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s="11" customFormat="1" ht="50.1" customHeight="1" x14ac:dyDescent="0.25">
      <c r="A4" s="392">
        <v>1</v>
      </c>
      <c r="B4" s="716" t="s">
        <v>168</v>
      </c>
      <c r="C4" s="709">
        <v>2021121302001</v>
      </c>
      <c r="D4" s="698" t="s">
        <v>136</v>
      </c>
      <c r="E4" s="738" t="s">
        <v>169</v>
      </c>
      <c r="F4" s="735" t="s">
        <v>170</v>
      </c>
      <c r="G4" s="697">
        <v>44547</v>
      </c>
      <c r="H4" s="39" t="s">
        <v>37</v>
      </c>
      <c r="I4" s="41">
        <v>8376</v>
      </c>
    </row>
    <row r="5" spans="1:9" ht="50.1" customHeight="1" x14ac:dyDescent="0.25">
      <c r="A5" s="392"/>
      <c r="B5" s="716"/>
      <c r="C5" s="709"/>
      <c r="D5" s="698"/>
      <c r="E5" s="738"/>
      <c r="F5" s="735"/>
      <c r="G5" s="697"/>
      <c r="H5" s="39" t="s">
        <v>38</v>
      </c>
      <c r="I5" s="42">
        <v>725</v>
      </c>
    </row>
    <row r="6" spans="1:9" ht="50.1" customHeight="1" x14ac:dyDescent="0.25">
      <c r="A6" s="740">
        <v>2</v>
      </c>
      <c r="B6" s="716" t="s">
        <v>168</v>
      </c>
      <c r="C6" s="709">
        <v>2021121302002</v>
      </c>
      <c r="D6" s="698" t="s">
        <v>136</v>
      </c>
      <c r="E6" s="738" t="s">
        <v>45</v>
      </c>
      <c r="F6" s="735" t="s">
        <v>171</v>
      </c>
      <c r="G6" s="697">
        <v>44544</v>
      </c>
      <c r="H6" s="39" t="s">
        <v>37</v>
      </c>
      <c r="I6" s="41">
        <v>8376</v>
      </c>
    </row>
    <row r="7" spans="1:9" ht="50.1" customHeight="1" x14ac:dyDescent="0.25">
      <c r="A7" s="740"/>
      <c r="B7" s="716"/>
      <c r="C7" s="709"/>
      <c r="D7" s="698"/>
      <c r="E7" s="738"/>
      <c r="F7" s="735"/>
      <c r="G7" s="697"/>
      <c r="H7" s="39" t="s">
        <v>38</v>
      </c>
      <c r="I7" s="42">
        <v>725</v>
      </c>
    </row>
    <row r="8" spans="1:9" ht="13.2" x14ac:dyDescent="0.25"/>
    <row r="9" spans="1:9" ht="15.6" x14ac:dyDescent="0.3">
      <c r="A9" s="2"/>
      <c r="B9" s="6"/>
      <c r="C9" s="2"/>
      <c r="D9" s="2"/>
      <c r="E9" s="2"/>
      <c r="F9" s="54"/>
      <c r="G9" s="3"/>
    </row>
    <row r="10" spans="1:9" ht="15.6" x14ac:dyDescent="0.3">
      <c r="A10" s="2"/>
      <c r="B10" s="6"/>
      <c r="C10" s="2"/>
      <c r="D10" s="2"/>
      <c r="E10" s="2"/>
      <c r="F10" s="54"/>
      <c r="G10" s="3"/>
    </row>
    <row r="11" spans="1:9" ht="21" x14ac:dyDescent="0.3">
      <c r="A11" s="2"/>
      <c r="B11" s="6"/>
      <c r="C11" s="2"/>
      <c r="D11" s="2"/>
      <c r="E11" s="2"/>
      <c r="F11" s="54"/>
      <c r="G11" s="3"/>
      <c r="H11" s="69"/>
      <c r="I11" s="70"/>
    </row>
    <row r="12" spans="1:9" ht="15.6" x14ac:dyDescent="0.3">
      <c r="A12" s="2"/>
      <c r="B12" s="6"/>
      <c r="C12" s="2"/>
      <c r="D12" s="2"/>
      <c r="E12" s="2"/>
      <c r="F12" s="54"/>
      <c r="G12" s="3"/>
    </row>
    <row r="13" spans="1:9" ht="15.6" x14ac:dyDescent="0.3">
      <c r="A13" s="2"/>
      <c r="B13" s="6"/>
      <c r="C13" s="2"/>
      <c r="D13" s="2"/>
      <c r="E13" s="2"/>
      <c r="F13" s="54"/>
      <c r="G13" s="3"/>
    </row>
    <row r="14" spans="1:9" ht="15.6" x14ac:dyDescent="0.3">
      <c r="A14" s="2"/>
      <c r="B14" s="6"/>
      <c r="C14" s="2"/>
      <c r="D14" s="2"/>
      <c r="E14" s="2"/>
      <c r="F14" s="54"/>
      <c r="G14" s="3"/>
    </row>
    <row r="15" spans="1:9" ht="15.6" x14ac:dyDescent="0.3">
      <c r="A15" s="2"/>
      <c r="B15" s="6"/>
      <c r="C15" s="2"/>
      <c r="D15" s="2"/>
      <c r="E15" s="2"/>
      <c r="F15" s="54"/>
      <c r="G15" s="3"/>
    </row>
    <row r="16" spans="1:9" ht="15.6" x14ac:dyDescent="0.3">
      <c r="A16" s="2"/>
      <c r="B16" s="6"/>
      <c r="C16" s="2"/>
      <c r="D16" s="2"/>
      <c r="E16" s="2"/>
      <c r="F16" s="54"/>
      <c r="G16" s="3"/>
    </row>
    <row r="17" spans="1:7" ht="15" x14ac:dyDescent="0.25">
      <c r="A17" s="2"/>
      <c r="B17" s="2"/>
      <c r="C17" s="2"/>
      <c r="D17" s="2"/>
      <c r="E17" s="2"/>
      <c r="F17" s="54"/>
      <c r="G17" s="3"/>
    </row>
    <row r="18" spans="1:7" ht="15" x14ac:dyDescent="0.25">
      <c r="A18" s="2"/>
      <c r="B18" s="2"/>
      <c r="C18" s="2"/>
      <c r="D18" s="2"/>
      <c r="E18" s="2"/>
      <c r="F18" s="54"/>
      <c r="G18" s="3"/>
    </row>
    <row r="19" spans="1:7" ht="15" x14ac:dyDescent="0.25">
      <c r="A19" s="2"/>
      <c r="B19" s="2"/>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sheetData>
  <autoFilter ref="A3:I3" xr:uid="{00000000-0009-0000-0000-000023000000}"/>
  <mergeCells count="17">
    <mergeCell ref="G6:G7"/>
    <mergeCell ref="A6:A7"/>
    <mergeCell ref="B6:B7"/>
    <mergeCell ref="C6:C7"/>
    <mergeCell ref="D6:D7"/>
    <mergeCell ref="E6:E7"/>
    <mergeCell ref="F6:F7"/>
    <mergeCell ref="A1:I1"/>
    <mergeCell ref="A2:E2"/>
    <mergeCell ref="F2:I2"/>
    <mergeCell ref="A4:A5"/>
    <mergeCell ref="B4:B5"/>
    <mergeCell ref="C4:C5"/>
    <mergeCell ref="D4:D5"/>
    <mergeCell ref="E4:E5"/>
    <mergeCell ref="F4:F5"/>
    <mergeCell ref="G4:G5"/>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pageSetUpPr fitToPage="1"/>
  </sheetPr>
  <dimension ref="A1:I91"/>
  <sheetViews>
    <sheetView view="pageBreakPreview" zoomScale="90" zoomScaleNormal="90" zoomScaleSheetLayoutView="90" workbookViewId="0">
      <pane ySplit="3" topLeftCell="A16" activePane="bottomLeft" state="frozen"/>
      <selection pane="bottomLeft" activeCell="E5" sqref="E5:E6"/>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135</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s="11" customFormat="1" ht="99.9" customHeight="1" x14ac:dyDescent="0.25">
      <c r="A4" s="19">
        <v>1</v>
      </c>
      <c r="B4" s="77" t="s">
        <v>158</v>
      </c>
      <c r="C4" s="72">
        <v>2021110205004</v>
      </c>
      <c r="D4" s="73" t="s">
        <v>136</v>
      </c>
      <c r="E4" s="74" t="s">
        <v>141</v>
      </c>
      <c r="F4" s="76" t="s">
        <v>142</v>
      </c>
      <c r="G4" s="77" t="s">
        <v>161</v>
      </c>
      <c r="H4" s="39" t="s">
        <v>40</v>
      </c>
      <c r="I4" s="42">
        <v>275</v>
      </c>
    </row>
    <row r="5" spans="1:9" s="11" customFormat="1" ht="50.1" customHeight="1" x14ac:dyDescent="0.25">
      <c r="A5" s="392">
        <v>2</v>
      </c>
      <c r="B5" s="716" t="s">
        <v>158</v>
      </c>
      <c r="C5" s="709">
        <v>2021110205001</v>
      </c>
      <c r="D5" s="698" t="s">
        <v>136</v>
      </c>
      <c r="E5" s="738" t="s">
        <v>143</v>
      </c>
      <c r="F5" s="735" t="s">
        <v>144</v>
      </c>
      <c r="G5" s="697" t="s">
        <v>161</v>
      </c>
      <c r="H5" s="39" t="s">
        <v>37</v>
      </c>
      <c r="I5" s="41">
        <v>8376</v>
      </c>
    </row>
    <row r="6" spans="1:9" ht="50.1" customHeight="1" x14ac:dyDescent="0.25">
      <c r="A6" s="392"/>
      <c r="B6" s="716"/>
      <c r="C6" s="709"/>
      <c r="D6" s="698"/>
      <c r="E6" s="738"/>
      <c r="F6" s="735"/>
      <c r="G6" s="697"/>
      <c r="H6" s="39" t="s">
        <v>38</v>
      </c>
      <c r="I6" s="42">
        <v>725</v>
      </c>
    </row>
    <row r="7" spans="1:9" ht="50.1" customHeight="1" x14ac:dyDescent="0.25">
      <c r="A7" s="740">
        <v>3</v>
      </c>
      <c r="B7" s="716" t="s">
        <v>158</v>
      </c>
      <c r="C7" s="709">
        <v>2021110205002</v>
      </c>
      <c r="D7" s="698" t="s">
        <v>136</v>
      </c>
      <c r="E7" s="738" t="s">
        <v>156</v>
      </c>
      <c r="F7" s="735" t="s">
        <v>145</v>
      </c>
      <c r="G7" s="697" t="s">
        <v>161</v>
      </c>
      <c r="H7" s="39" t="s">
        <v>37</v>
      </c>
      <c r="I7" s="41">
        <v>8376</v>
      </c>
    </row>
    <row r="8" spans="1:9" ht="50.1" customHeight="1" x14ac:dyDescent="0.25">
      <c r="A8" s="740"/>
      <c r="B8" s="716"/>
      <c r="C8" s="709"/>
      <c r="D8" s="698"/>
      <c r="E8" s="738"/>
      <c r="F8" s="735"/>
      <c r="G8" s="697"/>
      <c r="H8" s="39" t="s">
        <v>38</v>
      </c>
      <c r="I8" s="42">
        <v>725</v>
      </c>
    </row>
    <row r="9" spans="1:9" ht="50.1" customHeight="1" x14ac:dyDescent="0.25">
      <c r="A9" s="740">
        <v>4</v>
      </c>
      <c r="B9" s="716" t="s">
        <v>158</v>
      </c>
      <c r="C9" s="709">
        <v>2021110105001</v>
      </c>
      <c r="D9" s="698" t="s">
        <v>136</v>
      </c>
      <c r="E9" s="738" t="s">
        <v>157</v>
      </c>
      <c r="F9" s="735" t="s">
        <v>146</v>
      </c>
      <c r="G9" s="697" t="s">
        <v>161</v>
      </c>
      <c r="H9" s="39" t="s">
        <v>37</v>
      </c>
      <c r="I9" s="41">
        <v>8376</v>
      </c>
    </row>
    <row r="10" spans="1:9" ht="50.1" customHeight="1" x14ac:dyDescent="0.25">
      <c r="A10" s="740"/>
      <c r="B10" s="716"/>
      <c r="C10" s="709"/>
      <c r="D10" s="698"/>
      <c r="E10" s="738"/>
      <c r="F10" s="735"/>
      <c r="G10" s="697"/>
      <c r="H10" s="39" t="s">
        <v>38</v>
      </c>
      <c r="I10" s="42">
        <v>725</v>
      </c>
    </row>
    <row r="11" spans="1:9" ht="99.9" customHeight="1" x14ac:dyDescent="0.25">
      <c r="A11" s="19">
        <v>5</v>
      </c>
      <c r="B11" s="77" t="s">
        <v>158</v>
      </c>
      <c r="C11" s="72">
        <v>2021110205006</v>
      </c>
      <c r="D11" s="75" t="s">
        <v>137</v>
      </c>
      <c r="E11" s="74" t="s">
        <v>147</v>
      </c>
      <c r="F11" s="76" t="s">
        <v>148</v>
      </c>
      <c r="G11" s="77" t="s">
        <v>162</v>
      </c>
      <c r="H11" s="39" t="s">
        <v>121</v>
      </c>
      <c r="I11" s="42">
        <v>516</v>
      </c>
    </row>
    <row r="12" spans="1:9" s="11" customFormat="1" ht="50.1" customHeight="1" x14ac:dyDescent="0.25">
      <c r="A12" s="392">
        <v>6</v>
      </c>
      <c r="B12" s="716" t="s">
        <v>159</v>
      </c>
      <c r="C12" s="709">
        <v>2021110205005</v>
      </c>
      <c r="D12" s="698" t="s">
        <v>136</v>
      </c>
      <c r="E12" s="738" t="s">
        <v>149</v>
      </c>
      <c r="F12" s="735" t="s">
        <v>150</v>
      </c>
      <c r="G12" s="697" t="s">
        <v>163</v>
      </c>
      <c r="H12" s="39" t="s">
        <v>165</v>
      </c>
      <c r="I12" s="42">
        <v>760</v>
      </c>
    </row>
    <row r="13" spans="1:9" ht="50.1" customHeight="1" x14ac:dyDescent="0.25">
      <c r="A13" s="392"/>
      <c r="B13" s="716"/>
      <c r="C13" s="709"/>
      <c r="D13" s="698"/>
      <c r="E13" s="738"/>
      <c r="F13" s="735"/>
      <c r="G13" s="697"/>
      <c r="H13" s="39" t="s">
        <v>166</v>
      </c>
      <c r="I13" s="42">
        <v>368</v>
      </c>
    </row>
    <row r="14" spans="1:9" ht="99.9" customHeight="1" x14ac:dyDescent="0.25">
      <c r="A14" s="19">
        <v>7</v>
      </c>
      <c r="B14" s="77" t="s">
        <v>160</v>
      </c>
      <c r="C14" s="72">
        <v>2021111702004</v>
      </c>
      <c r="D14" s="73" t="s">
        <v>136</v>
      </c>
      <c r="E14" s="74" t="s">
        <v>151</v>
      </c>
      <c r="F14" s="76" t="s">
        <v>152</v>
      </c>
      <c r="G14" s="77" t="s">
        <v>162</v>
      </c>
      <c r="H14" s="39" t="s">
        <v>42</v>
      </c>
      <c r="I14" s="41">
        <v>1485</v>
      </c>
    </row>
    <row r="15" spans="1:9" s="11" customFormat="1" ht="50.1" customHeight="1" x14ac:dyDescent="0.25">
      <c r="A15" s="392">
        <v>8</v>
      </c>
      <c r="B15" s="697" t="s">
        <v>160</v>
      </c>
      <c r="C15" s="709">
        <v>2021111702002</v>
      </c>
      <c r="D15" s="698" t="s">
        <v>136</v>
      </c>
      <c r="E15" s="738" t="s">
        <v>138</v>
      </c>
      <c r="F15" s="735" t="s">
        <v>153</v>
      </c>
      <c r="G15" s="697" t="s">
        <v>164</v>
      </c>
      <c r="H15" s="39" t="s">
        <v>37</v>
      </c>
      <c r="I15" s="41">
        <v>8376</v>
      </c>
    </row>
    <row r="16" spans="1:9" ht="50.1" customHeight="1" x14ac:dyDescent="0.25">
      <c r="A16" s="392"/>
      <c r="B16" s="697"/>
      <c r="C16" s="709"/>
      <c r="D16" s="698"/>
      <c r="E16" s="738"/>
      <c r="F16" s="735"/>
      <c r="G16" s="697"/>
      <c r="H16" s="39" t="s">
        <v>38</v>
      </c>
      <c r="I16" s="42">
        <v>725</v>
      </c>
    </row>
    <row r="17" spans="1:9" s="11" customFormat="1" ht="50.1" customHeight="1" x14ac:dyDescent="0.25">
      <c r="A17" s="392">
        <v>9</v>
      </c>
      <c r="B17" s="697" t="s">
        <v>160</v>
      </c>
      <c r="C17" s="709">
        <v>2021111702001</v>
      </c>
      <c r="D17" s="698" t="s">
        <v>136</v>
      </c>
      <c r="E17" s="738" t="s">
        <v>139</v>
      </c>
      <c r="F17" s="735" t="s">
        <v>154</v>
      </c>
      <c r="G17" s="697" t="s">
        <v>164</v>
      </c>
      <c r="H17" s="39" t="s">
        <v>37</v>
      </c>
      <c r="I17" s="41">
        <v>8376</v>
      </c>
    </row>
    <row r="18" spans="1:9" ht="50.1" customHeight="1" x14ac:dyDescent="0.25">
      <c r="A18" s="392"/>
      <c r="B18" s="697"/>
      <c r="C18" s="709"/>
      <c r="D18" s="698"/>
      <c r="E18" s="738"/>
      <c r="F18" s="735"/>
      <c r="G18" s="697"/>
      <c r="H18" s="39" t="s">
        <v>38</v>
      </c>
      <c r="I18" s="42">
        <v>725</v>
      </c>
    </row>
    <row r="19" spans="1:9" s="11" customFormat="1" ht="50.1" customHeight="1" x14ac:dyDescent="0.25">
      <c r="A19" s="392">
        <v>10</v>
      </c>
      <c r="B19" s="697" t="s">
        <v>160</v>
      </c>
      <c r="C19" s="709">
        <v>2021111502001</v>
      </c>
      <c r="D19" s="698" t="s">
        <v>136</v>
      </c>
      <c r="E19" s="738" t="s">
        <v>140</v>
      </c>
      <c r="F19" s="735" t="s">
        <v>155</v>
      </c>
      <c r="G19" s="697" t="s">
        <v>164</v>
      </c>
      <c r="H19" s="39" t="s">
        <v>37</v>
      </c>
      <c r="I19" s="41">
        <v>8376</v>
      </c>
    </row>
    <row r="20" spans="1:9" ht="50.1" customHeight="1" thickBot="1" x14ac:dyDescent="0.3">
      <c r="A20" s="594"/>
      <c r="B20" s="708"/>
      <c r="C20" s="710"/>
      <c r="D20" s="711"/>
      <c r="E20" s="739"/>
      <c r="F20" s="736"/>
      <c r="G20" s="708"/>
      <c r="H20" s="44" t="s">
        <v>38</v>
      </c>
      <c r="I20" s="52">
        <v>725</v>
      </c>
    </row>
    <row r="21" spans="1:9" ht="13.2" x14ac:dyDescent="0.25"/>
    <row r="22" spans="1:9" ht="15.6" x14ac:dyDescent="0.3">
      <c r="A22" s="2"/>
      <c r="B22" s="6"/>
      <c r="C22" s="2"/>
      <c r="D22" s="2"/>
      <c r="E22" s="2"/>
      <c r="F22" s="54"/>
      <c r="G22" s="3"/>
    </row>
    <row r="23" spans="1:9" ht="15.6" x14ac:dyDescent="0.3">
      <c r="A23" s="2"/>
      <c r="B23" s="6"/>
      <c r="C23" s="2"/>
      <c r="D23" s="2"/>
      <c r="E23" s="2"/>
      <c r="F23" s="54"/>
      <c r="G23" s="3"/>
    </row>
    <row r="24" spans="1:9" ht="21" x14ac:dyDescent="0.3">
      <c r="A24" s="2"/>
      <c r="B24" s="6"/>
      <c r="C24" s="2"/>
      <c r="D24" s="2"/>
      <c r="E24" s="2"/>
      <c r="F24" s="54"/>
      <c r="G24" s="3"/>
      <c r="H24" s="69"/>
      <c r="I24" s="70"/>
    </row>
    <row r="25" spans="1:9" ht="15.6" x14ac:dyDescent="0.3">
      <c r="A25" s="2"/>
      <c r="B25" s="6"/>
      <c r="C25" s="2"/>
      <c r="D25" s="2"/>
      <c r="E25" s="2"/>
      <c r="F25" s="54"/>
      <c r="G25" s="3"/>
    </row>
    <row r="26" spans="1:9" ht="15.6" x14ac:dyDescent="0.3">
      <c r="A26" s="2"/>
      <c r="B26" s="6"/>
      <c r="C26" s="2"/>
      <c r="D26" s="2"/>
      <c r="E26" s="2"/>
      <c r="F26" s="54"/>
      <c r="G26" s="3"/>
    </row>
    <row r="27" spans="1:9" ht="15.6" x14ac:dyDescent="0.3">
      <c r="A27" s="2"/>
      <c r="B27" s="6"/>
      <c r="C27" s="2"/>
      <c r="D27" s="2"/>
      <c r="E27" s="2"/>
      <c r="F27" s="54"/>
      <c r="G27" s="3"/>
    </row>
    <row r="28" spans="1:9" ht="15.6" x14ac:dyDescent="0.3">
      <c r="A28" s="2"/>
      <c r="B28" s="6"/>
      <c r="C28" s="2"/>
      <c r="D28" s="2"/>
      <c r="E28" s="2"/>
      <c r="F28" s="54"/>
      <c r="G28" s="3"/>
    </row>
    <row r="29" spans="1:9" ht="15.6" x14ac:dyDescent="0.3">
      <c r="A29" s="2"/>
      <c r="B29" s="6"/>
      <c r="C29" s="2"/>
      <c r="D29" s="2"/>
      <c r="E29" s="2"/>
      <c r="F29" s="54"/>
      <c r="G29" s="3"/>
    </row>
    <row r="30" spans="1:9" ht="15" x14ac:dyDescent="0.25">
      <c r="A30" s="2"/>
      <c r="B30" s="2"/>
      <c r="C30" s="2"/>
      <c r="D30" s="2"/>
      <c r="E30" s="2"/>
      <c r="F30" s="54"/>
      <c r="G30" s="3"/>
    </row>
    <row r="31" spans="1:9" ht="15" x14ac:dyDescent="0.25">
      <c r="A31" s="2"/>
      <c r="B31" s="2"/>
      <c r="C31" s="2"/>
      <c r="D31" s="2"/>
      <c r="E31" s="2"/>
      <c r="F31" s="54"/>
      <c r="G31" s="3"/>
    </row>
    <row r="32" spans="1:9"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row r="79" spans="1:7" ht="15" x14ac:dyDescent="0.25">
      <c r="A79" s="2"/>
      <c r="B79" s="2"/>
      <c r="C79" s="2"/>
      <c r="D79" s="2"/>
      <c r="E79" s="2"/>
      <c r="F79" s="54"/>
      <c r="G79" s="3"/>
    </row>
    <row r="80" spans="1:7" ht="15" x14ac:dyDescent="0.25">
      <c r="A80" s="2"/>
      <c r="B80" s="2"/>
      <c r="C80" s="2"/>
      <c r="D80" s="2"/>
      <c r="E80" s="2"/>
      <c r="F80" s="54"/>
      <c r="G80" s="3"/>
    </row>
    <row r="81" spans="1:7" ht="15" x14ac:dyDescent="0.25">
      <c r="A81" s="2"/>
      <c r="B81" s="2"/>
      <c r="C81" s="2"/>
      <c r="D81" s="2"/>
      <c r="E81" s="2"/>
      <c r="F81" s="54"/>
      <c r="G81" s="3"/>
    </row>
    <row r="82" spans="1:7" ht="15" x14ac:dyDescent="0.25">
      <c r="A82" s="2"/>
      <c r="B82" s="2"/>
      <c r="C82" s="2"/>
      <c r="D82" s="2"/>
      <c r="E82" s="2"/>
      <c r="F82" s="54"/>
      <c r="G82" s="3"/>
    </row>
    <row r="83" spans="1:7" ht="15" x14ac:dyDescent="0.25">
      <c r="A83" s="2"/>
      <c r="B83" s="2"/>
      <c r="C83" s="2"/>
      <c r="D83" s="2"/>
      <c r="E83" s="2"/>
      <c r="F83" s="54"/>
      <c r="G83" s="3"/>
    </row>
    <row r="84" spans="1:7" ht="15" x14ac:dyDescent="0.25">
      <c r="A84" s="2"/>
      <c r="B84" s="2"/>
      <c r="C84" s="2"/>
      <c r="D84" s="2"/>
      <c r="E84" s="2"/>
      <c r="F84" s="54"/>
      <c r="G84" s="3"/>
    </row>
    <row r="85" spans="1:7" ht="15" x14ac:dyDescent="0.25">
      <c r="A85" s="2"/>
      <c r="B85" s="2"/>
      <c r="C85" s="2"/>
      <c r="D85" s="2"/>
      <c r="E85" s="2"/>
      <c r="F85" s="54"/>
      <c r="G85" s="3"/>
    </row>
    <row r="86" spans="1:7" ht="15" x14ac:dyDescent="0.25">
      <c r="A86" s="2"/>
      <c r="B86" s="2"/>
      <c r="C86" s="2"/>
      <c r="D86" s="2"/>
      <c r="E86" s="2"/>
      <c r="F86" s="54"/>
      <c r="G86" s="3"/>
    </row>
    <row r="87" spans="1:7" ht="15" x14ac:dyDescent="0.25">
      <c r="A87" s="2"/>
      <c r="B87" s="2"/>
      <c r="C87" s="2"/>
      <c r="D87" s="2"/>
      <c r="E87" s="2"/>
      <c r="F87" s="54"/>
      <c r="G87" s="3"/>
    </row>
    <row r="88" spans="1:7" ht="15" x14ac:dyDescent="0.25">
      <c r="A88" s="2"/>
      <c r="B88" s="2"/>
      <c r="C88" s="2"/>
      <c r="D88" s="2"/>
      <c r="E88" s="2"/>
      <c r="F88" s="54"/>
      <c r="G88" s="3"/>
    </row>
    <row r="89" spans="1:7" ht="15" x14ac:dyDescent="0.25">
      <c r="A89" s="2"/>
      <c r="B89" s="2"/>
      <c r="C89" s="2"/>
      <c r="D89" s="2"/>
      <c r="E89" s="2"/>
      <c r="F89" s="54"/>
      <c r="G89" s="3"/>
    </row>
    <row r="90" spans="1:7" ht="15" x14ac:dyDescent="0.25">
      <c r="A90" s="2"/>
      <c r="B90" s="2"/>
      <c r="C90" s="2"/>
      <c r="D90" s="2"/>
      <c r="E90" s="2"/>
      <c r="F90" s="54"/>
      <c r="G90" s="3"/>
    </row>
    <row r="91" spans="1:7" ht="15" x14ac:dyDescent="0.25">
      <c r="A91" s="2"/>
      <c r="B91" s="2"/>
      <c r="C91" s="2"/>
      <c r="D91" s="2"/>
      <c r="E91" s="2"/>
      <c r="F91" s="54"/>
      <c r="G91" s="3"/>
    </row>
  </sheetData>
  <autoFilter ref="A3:I3" xr:uid="{00000000-0009-0000-0000-000024000000}"/>
  <mergeCells count="52">
    <mergeCell ref="A1:I1"/>
    <mergeCell ref="A2:E2"/>
    <mergeCell ref="F2:I2"/>
    <mergeCell ref="A5:A6"/>
    <mergeCell ref="B5:B6"/>
    <mergeCell ref="C5:C6"/>
    <mergeCell ref="D5:D6"/>
    <mergeCell ref="E5:E6"/>
    <mergeCell ref="F5:F6"/>
    <mergeCell ref="G5:G6"/>
    <mergeCell ref="G7:G8"/>
    <mergeCell ref="A9:A10"/>
    <mergeCell ref="B9:B10"/>
    <mergeCell ref="C9:C10"/>
    <mergeCell ref="D9:D10"/>
    <mergeCell ref="E9:E10"/>
    <mergeCell ref="F9:F10"/>
    <mergeCell ref="G9:G10"/>
    <mergeCell ref="A7:A8"/>
    <mergeCell ref="B7:B8"/>
    <mergeCell ref="C7:C8"/>
    <mergeCell ref="D7:D8"/>
    <mergeCell ref="E7:E8"/>
    <mergeCell ref="F7:F8"/>
    <mergeCell ref="G15:G16"/>
    <mergeCell ref="A12:A13"/>
    <mergeCell ref="B12:B13"/>
    <mergeCell ref="C12:C13"/>
    <mergeCell ref="D12:D13"/>
    <mergeCell ref="E12:E13"/>
    <mergeCell ref="F12:F13"/>
    <mergeCell ref="G12:G13"/>
    <mergeCell ref="A15:A16"/>
    <mergeCell ref="B15:B16"/>
    <mergeCell ref="C15:C16"/>
    <mergeCell ref="D15:D16"/>
    <mergeCell ref="E15:E16"/>
    <mergeCell ref="F15:F16"/>
    <mergeCell ref="G19:G20"/>
    <mergeCell ref="A17:A18"/>
    <mergeCell ref="B17:B18"/>
    <mergeCell ref="C17:C18"/>
    <mergeCell ref="D17:D18"/>
    <mergeCell ref="E17:E18"/>
    <mergeCell ref="F17:F18"/>
    <mergeCell ref="G17:G18"/>
    <mergeCell ref="A19:A20"/>
    <mergeCell ref="B19:B20"/>
    <mergeCell ref="C19:C20"/>
    <mergeCell ref="D19:D20"/>
    <mergeCell ref="E19:E20"/>
    <mergeCell ref="F19:F20"/>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rowBreaks count="1" manualBreakCount="1">
    <brk id="14" max="8"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pageSetUpPr fitToPage="1"/>
  </sheetPr>
  <dimension ref="A1:I81"/>
  <sheetViews>
    <sheetView view="pageBreakPreview" zoomScale="90" zoomScaleNormal="90" zoomScaleSheetLayoutView="90" workbookViewId="0">
      <pane ySplit="3" topLeftCell="A4" activePane="bottomLeft" state="frozen"/>
      <selection pane="bottomLeft" activeCell="H10" sqref="H10"/>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125</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s="11" customFormat="1" ht="50.1" customHeight="1" x14ac:dyDescent="0.25">
      <c r="A4" s="392">
        <v>1</v>
      </c>
      <c r="B4" s="697">
        <v>44476</v>
      </c>
      <c r="C4" s="741">
        <v>2021100705001</v>
      </c>
      <c r="D4" s="742" t="s">
        <v>44</v>
      </c>
      <c r="E4" s="743" t="s">
        <v>126</v>
      </c>
      <c r="F4" s="744" t="s">
        <v>129</v>
      </c>
      <c r="G4" s="697">
        <v>44483</v>
      </c>
      <c r="H4" s="39" t="s">
        <v>37</v>
      </c>
      <c r="I4" s="41">
        <v>8376</v>
      </c>
    </row>
    <row r="5" spans="1:9" ht="50.1" customHeight="1" x14ac:dyDescent="0.25">
      <c r="A5" s="392"/>
      <c r="B5" s="697"/>
      <c r="C5" s="741"/>
      <c r="D5" s="742"/>
      <c r="E5" s="743"/>
      <c r="F5" s="744"/>
      <c r="G5" s="697"/>
      <c r="H5" s="39" t="s">
        <v>38</v>
      </c>
      <c r="I5" s="42">
        <v>725</v>
      </c>
    </row>
    <row r="6" spans="1:9" s="11" customFormat="1" ht="99.9" customHeight="1" x14ac:dyDescent="0.25">
      <c r="A6" s="19">
        <v>2</v>
      </c>
      <c r="B6" s="58">
        <v>44476</v>
      </c>
      <c r="C6" s="46">
        <v>2021100602001</v>
      </c>
      <c r="D6" s="65" t="s">
        <v>107</v>
      </c>
      <c r="E6" s="63" t="s">
        <v>108</v>
      </c>
      <c r="F6" s="57" t="s">
        <v>131</v>
      </c>
      <c r="G6" s="58">
        <v>44487</v>
      </c>
      <c r="H6" s="39" t="s">
        <v>17</v>
      </c>
      <c r="I6" s="42">
        <v>1031</v>
      </c>
    </row>
    <row r="7" spans="1:9" ht="99.9" customHeight="1" x14ac:dyDescent="0.25">
      <c r="A7" s="19">
        <v>3</v>
      </c>
      <c r="B7" s="58">
        <v>44476</v>
      </c>
      <c r="C7" s="46">
        <v>2021100305003</v>
      </c>
      <c r="D7" s="60" t="s">
        <v>44</v>
      </c>
      <c r="E7" s="63" t="s">
        <v>126</v>
      </c>
      <c r="F7" s="57" t="s">
        <v>132</v>
      </c>
      <c r="G7" s="58">
        <v>44482</v>
      </c>
      <c r="H7" s="39" t="s">
        <v>17</v>
      </c>
      <c r="I7" s="42">
        <v>1031</v>
      </c>
    </row>
    <row r="8" spans="1:9" ht="50.1" customHeight="1" x14ac:dyDescent="0.25">
      <c r="A8" s="740">
        <v>4</v>
      </c>
      <c r="B8" s="697">
        <v>44476</v>
      </c>
      <c r="C8" s="745">
        <v>2021100705002</v>
      </c>
      <c r="D8" s="742" t="s">
        <v>44</v>
      </c>
      <c r="E8" s="743" t="s">
        <v>127</v>
      </c>
      <c r="F8" s="744" t="s">
        <v>130</v>
      </c>
      <c r="G8" s="697">
        <v>44483</v>
      </c>
      <c r="H8" s="39" t="s">
        <v>37</v>
      </c>
      <c r="I8" s="41">
        <v>8376</v>
      </c>
    </row>
    <row r="9" spans="1:9" ht="50.1" customHeight="1" x14ac:dyDescent="0.25">
      <c r="A9" s="740"/>
      <c r="B9" s="697"/>
      <c r="C9" s="745"/>
      <c r="D9" s="742"/>
      <c r="E9" s="743"/>
      <c r="F9" s="744"/>
      <c r="G9" s="697"/>
      <c r="H9" s="39" t="s">
        <v>38</v>
      </c>
      <c r="I9" s="42">
        <v>725</v>
      </c>
    </row>
    <row r="10" spans="1:9" ht="99.9" customHeight="1" thickBot="1" x14ac:dyDescent="0.3">
      <c r="A10" s="62">
        <v>5</v>
      </c>
      <c r="B10" s="66">
        <v>44488</v>
      </c>
      <c r="C10" s="47">
        <v>2021101902001</v>
      </c>
      <c r="D10" s="68" t="s">
        <v>107</v>
      </c>
      <c r="E10" s="64" t="s">
        <v>128</v>
      </c>
      <c r="F10" s="71" t="s">
        <v>133</v>
      </c>
      <c r="G10" s="66">
        <v>44497</v>
      </c>
      <c r="H10" s="44" t="s">
        <v>134</v>
      </c>
      <c r="I10" s="52">
        <v>8250</v>
      </c>
    </row>
    <row r="11" spans="1:9" ht="13.2" x14ac:dyDescent="0.25"/>
    <row r="12" spans="1:9" ht="15.6" x14ac:dyDescent="0.3">
      <c r="A12" s="2"/>
      <c r="B12" s="6"/>
      <c r="C12" s="2"/>
      <c r="D12" s="2"/>
      <c r="E12" s="2"/>
      <c r="F12" s="54"/>
      <c r="G12" s="3"/>
    </row>
    <row r="13" spans="1:9" ht="15.6" x14ac:dyDescent="0.3">
      <c r="A13" s="2"/>
      <c r="B13" s="6"/>
      <c r="C13" s="2"/>
      <c r="D13" s="2"/>
      <c r="E13" s="2"/>
      <c r="F13" s="54"/>
      <c r="G13" s="3"/>
    </row>
    <row r="14" spans="1:9" ht="21" x14ac:dyDescent="0.3">
      <c r="A14" s="2"/>
      <c r="B14" s="6"/>
      <c r="C14" s="2"/>
      <c r="D14" s="2"/>
      <c r="E14" s="2"/>
      <c r="F14" s="54"/>
      <c r="G14" s="3"/>
      <c r="H14" s="69"/>
      <c r="I14" s="70"/>
    </row>
    <row r="15" spans="1:9" ht="15.6" x14ac:dyDescent="0.3">
      <c r="A15" s="2"/>
      <c r="B15" s="6"/>
      <c r="C15" s="2"/>
      <c r="D15" s="2"/>
      <c r="E15" s="2"/>
      <c r="F15" s="54"/>
      <c r="G15" s="3"/>
    </row>
    <row r="16" spans="1:9" ht="15.6" x14ac:dyDescent="0.3">
      <c r="A16" s="2"/>
      <c r="B16" s="6"/>
      <c r="C16" s="2"/>
      <c r="D16" s="2"/>
      <c r="E16" s="2"/>
      <c r="F16" s="54"/>
      <c r="G16" s="3"/>
    </row>
    <row r="17" spans="1:7" ht="15.6" x14ac:dyDescent="0.3">
      <c r="A17" s="2"/>
      <c r="B17" s="6"/>
      <c r="C17" s="2"/>
      <c r="D17" s="2"/>
      <c r="E17" s="2"/>
      <c r="F17" s="54"/>
      <c r="G17" s="3"/>
    </row>
    <row r="18" spans="1:7" ht="15.6" x14ac:dyDescent="0.3">
      <c r="A18" s="2"/>
      <c r="B18" s="6"/>
      <c r="C18" s="2"/>
      <c r="D18" s="2"/>
      <c r="E18" s="2"/>
      <c r="F18" s="54"/>
      <c r="G18" s="3"/>
    </row>
    <row r="19" spans="1:7" ht="15.6" x14ac:dyDescent="0.3">
      <c r="A19" s="2"/>
      <c r="B19" s="6"/>
      <c r="C19" s="2"/>
      <c r="D19" s="2"/>
      <c r="E19" s="2"/>
      <c r="F19" s="54"/>
      <c r="G19" s="3"/>
    </row>
    <row r="20" spans="1:7" ht="15" x14ac:dyDescent="0.25">
      <c r="A20" s="2"/>
      <c r="B20" s="2"/>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row r="79" spans="1:7" ht="15" x14ac:dyDescent="0.25">
      <c r="A79" s="2"/>
      <c r="B79" s="2"/>
      <c r="C79" s="2"/>
      <c r="D79" s="2"/>
      <c r="E79" s="2"/>
      <c r="F79" s="54"/>
      <c r="G79" s="3"/>
    </row>
    <row r="80" spans="1:7" ht="15" x14ac:dyDescent="0.25">
      <c r="A80" s="2"/>
      <c r="B80" s="2"/>
      <c r="C80" s="2"/>
      <c r="D80" s="2"/>
      <c r="E80" s="2"/>
      <c r="F80" s="54"/>
      <c r="G80" s="3"/>
    </row>
    <row r="81" spans="1:7" ht="15" x14ac:dyDescent="0.25">
      <c r="A81" s="2"/>
      <c r="B81" s="2"/>
      <c r="C81" s="2"/>
      <c r="D81" s="2"/>
      <c r="E81" s="2"/>
      <c r="F81" s="54"/>
      <c r="G81" s="3"/>
    </row>
  </sheetData>
  <autoFilter ref="A3:I3" xr:uid="{00000000-0009-0000-0000-000025000000}"/>
  <mergeCells count="17">
    <mergeCell ref="E8:E9"/>
    <mergeCell ref="F8:F9"/>
    <mergeCell ref="G8:G9"/>
    <mergeCell ref="A8:A9"/>
    <mergeCell ref="B8:B9"/>
    <mergeCell ref="C8:C9"/>
    <mergeCell ref="D8:D9"/>
    <mergeCell ref="A1:I1"/>
    <mergeCell ref="A2:E2"/>
    <mergeCell ref="F2:I2"/>
    <mergeCell ref="A4:A5"/>
    <mergeCell ref="B4:B5"/>
    <mergeCell ref="C4:C5"/>
    <mergeCell ref="D4:D5"/>
    <mergeCell ref="E4:E5"/>
    <mergeCell ref="F4:F5"/>
    <mergeCell ref="G4:G5"/>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pageSetUpPr fitToPage="1"/>
  </sheetPr>
  <dimension ref="A1:I82"/>
  <sheetViews>
    <sheetView view="pageBreakPreview" zoomScale="90" zoomScaleNormal="90" zoomScaleSheetLayoutView="90" workbookViewId="0">
      <pane ySplit="3" topLeftCell="A10" activePane="bottomLeft" state="frozen"/>
      <selection pane="bottomLeft" activeCell="H10" sqref="H10:I10"/>
    </sheetView>
  </sheetViews>
  <sheetFormatPr defaultColWidth="14.44140625" defaultRowHeight="15.75" customHeight="1" x14ac:dyDescent="0.25"/>
  <cols>
    <col min="1" max="1" width="8.33203125" bestFit="1" customWidth="1"/>
    <col min="2" max="2" width="20.6640625" customWidth="1"/>
    <col min="3" max="3" width="30.33203125" style="1" bestFit="1" customWidth="1"/>
    <col min="4" max="5" width="25.6640625" customWidth="1"/>
    <col min="6" max="6" width="80.6640625" style="53" customWidth="1"/>
    <col min="7" max="7" width="20.6640625" customWidth="1"/>
    <col min="8" max="8" width="28.6640625" customWidth="1"/>
    <col min="9" max="9" width="28.6640625" style="12" customWidth="1"/>
  </cols>
  <sheetData>
    <row r="1" spans="1:9" ht="50.1" customHeight="1" thickBot="1" x14ac:dyDescent="0.3">
      <c r="A1" s="614" t="s">
        <v>11</v>
      </c>
      <c r="B1" s="614"/>
      <c r="C1" s="614"/>
      <c r="D1" s="614"/>
      <c r="E1" s="614"/>
      <c r="F1" s="614"/>
      <c r="G1" s="614"/>
      <c r="H1" s="614"/>
      <c r="I1" s="614"/>
    </row>
    <row r="2" spans="1:9" s="8" customFormat="1" ht="50.1" customHeight="1" x14ac:dyDescent="0.3">
      <c r="A2" s="387" t="s">
        <v>12</v>
      </c>
      <c r="B2" s="388"/>
      <c r="C2" s="388"/>
      <c r="D2" s="388"/>
      <c r="E2" s="388"/>
      <c r="F2" s="389" t="s">
        <v>105</v>
      </c>
      <c r="G2" s="389"/>
      <c r="H2" s="389"/>
      <c r="I2" s="390"/>
    </row>
    <row r="3" spans="1:9" s="10" customFormat="1" ht="50.1" customHeight="1" x14ac:dyDescent="0.25">
      <c r="A3" s="17" t="s">
        <v>23</v>
      </c>
      <c r="B3" s="15" t="s">
        <v>14</v>
      </c>
      <c r="C3" s="16" t="s">
        <v>22</v>
      </c>
      <c r="D3" s="14" t="s">
        <v>0</v>
      </c>
      <c r="E3" s="14" t="s">
        <v>2</v>
      </c>
      <c r="F3" s="14" t="s">
        <v>19</v>
      </c>
      <c r="G3" s="15" t="s">
        <v>1</v>
      </c>
      <c r="H3" s="15" t="s">
        <v>15</v>
      </c>
      <c r="I3" s="18" t="s">
        <v>16</v>
      </c>
    </row>
    <row r="4" spans="1:9" s="11" customFormat="1" ht="50.1" customHeight="1" x14ac:dyDescent="0.25">
      <c r="A4" s="392">
        <v>1</v>
      </c>
      <c r="B4" s="697">
        <v>44439</v>
      </c>
      <c r="C4" s="741">
        <v>2021083105002</v>
      </c>
      <c r="D4" s="742" t="s">
        <v>44</v>
      </c>
      <c r="E4" s="744" t="s">
        <v>106</v>
      </c>
      <c r="F4" s="744" t="s">
        <v>88</v>
      </c>
      <c r="G4" s="697">
        <v>44441</v>
      </c>
      <c r="H4" s="39" t="s">
        <v>37</v>
      </c>
      <c r="I4" s="41">
        <v>8376</v>
      </c>
    </row>
    <row r="5" spans="1:9" ht="50.1" customHeight="1" x14ac:dyDescent="0.25">
      <c r="A5" s="392"/>
      <c r="B5" s="697"/>
      <c r="C5" s="741"/>
      <c r="D5" s="742"/>
      <c r="E5" s="744"/>
      <c r="F5" s="744"/>
      <c r="G5" s="697"/>
      <c r="H5" s="39" t="s">
        <v>38</v>
      </c>
      <c r="I5" s="42">
        <v>725</v>
      </c>
    </row>
    <row r="6" spans="1:9" s="11" customFormat="1" ht="69.900000000000006" customHeight="1" x14ac:dyDescent="0.25">
      <c r="A6" s="392">
        <v>2</v>
      </c>
      <c r="B6" s="697">
        <v>44462</v>
      </c>
      <c r="C6" s="741">
        <v>2021092302001</v>
      </c>
      <c r="D6" s="742" t="s">
        <v>107</v>
      </c>
      <c r="E6" s="744" t="s">
        <v>108</v>
      </c>
      <c r="F6" s="744" t="s">
        <v>118</v>
      </c>
      <c r="G6" s="697">
        <v>44468</v>
      </c>
      <c r="H6" s="39" t="s">
        <v>120</v>
      </c>
      <c r="I6" s="41">
        <v>279</v>
      </c>
    </row>
    <row r="7" spans="1:9" ht="69.900000000000006" customHeight="1" x14ac:dyDescent="0.25">
      <c r="A7" s="392"/>
      <c r="B7" s="697"/>
      <c r="C7" s="741"/>
      <c r="D7" s="742"/>
      <c r="E7" s="744"/>
      <c r="F7" s="744"/>
      <c r="G7" s="697"/>
      <c r="H7" s="39" t="s">
        <v>119</v>
      </c>
      <c r="I7" s="42">
        <v>825</v>
      </c>
    </row>
    <row r="8" spans="1:9" ht="99.9" customHeight="1" x14ac:dyDescent="0.25">
      <c r="A8" s="19">
        <v>3</v>
      </c>
      <c r="B8" s="58">
        <v>44462</v>
      </c>
      <c r="C8" s="59">
        <v>2021092302002</v>
      </c>
      <c r="D8" s="65" t="s">
        <v>107</v>
      </c>
      <c r="E8" s="63" t="s">
        <v>109</v>
      </c>
      <c r="F8" s="63" t="s">
        <v>114</v>
      </c>
      <c r="G8" s="58">
        <v>44468</v>
      </c>
      <c r="H8" s="39" t="s">
        <v>123</v>
      </c>
      <c r="I8" s="42">
        <v>619</v>
      </c>
    </row>
    <row r="9" spans="1:9" ht="99.9" customHeight="1" x14ac:dyDescent="0.25">
      <c r="A9" s="61">
        <v>4</v>
      </c>
      <c r="B9" s="58">
        <v>44462</v>
      </c>
      <c r="C9" s="59">
        <v>2021092302004</v>
      </c>
      <c r="D9" s="65" t="s">
        <v>107</v>
      </c>
      <c r="E9" s="63" t="s">
        <v>110</v>
      </c>
      <c r="F9" s="63" t="s">
        <v>115</v>
      </c>
      <c r="G9" s="58">
        <v>44468</v>
      </c>
      <c r="H9" s="39" t="s">
        <v>122</v>
      </c>
      <c r="I9" s="42">
        <v>275</v>
      </c>
    </row>
    <row r="10" spans="1:9" ht="99.9" customHeight="1" x14ac:dyDescent="0.25">
      <c r="A10" s="19">
        <v>5</v>
      </c>
      <c r="B10" s="58">
        <v>44463</v>
      </c>
      <c r="C10" s="59">
        <v>2021092402001</v>
      </c>
      <c r="D10" s="65" t="s">
        <v>111</v>
      </c>
      <c r="E10" s="63" t="s">
        <v>112</v>
      </c>
      <c r="F10" s="63" t="s">
        <v>116</v>
      </c>
      <c r="G10" s="58">
        <v>44468</v>
      </c>
      <c r="H10" s="39" t="s">
        <v>121</v>
      </c>
      <c r="I10" s="42">
        <v>516</v>
      </c>
    </row>
    <row r="11" spans="1:9" ht="99.9" customHeight="1" thickBot="1" x14ac:dyDescent="0.3">
      <c r="A11" s="62">
        <v>6</v>
      </c>
      <c r="B11" s="66">
        <v>44463</v>
      </c>
      <c r="C11" s="67">
        <v>2021092402003</v>
      </c>
      <c r="D11" s="68" t="s">
        <v>107</v>
      </c>
      <c r="E11" s="64" t="s">
        <v>113</v>
      </c>
      <c r="F11" s="64" t="s">
        <v>117</v>
      </c>
      <c r="G11" s="66">
        <v>44468</v>
      </c>
      <c r="H11" s="44" t="s">
        <v>124</v>
      </c>
      <c r="I11" s="52">
        <v>447</v>
      </c>
    </row>
    <row r="12" spans="1:9" ht="13.2" x14ac:dyDescent="0.25"/>
    <row r="13" spans="1:9" ht="15.6" x14ac:dyDescent="0.3">
      <c r="A13" s="2"/>
      <c r="B13" s="6"/>
      <c r="C13" s="2"/>
      <c r="D13" s="2"/>
      <c r="E13" s="2"/>
      <c r="F13" s="54"/>
      <c r="G13" s="3"/>
    </row>
    <row r="14" spans="1:9" ht="15.6" x14ac:dyDescent="0.3">
      <c r="A14" s="2"/>
      <c r="B14" s="6"/>
      <c r="C14" s="2"/>
      <c r="D14" s="2"/>
      <c r="E14" s="2"/>
      <c r="F14" s="54"/>
      <c r="G14" s="3"/>
    </row>
    <row r="15" spans="1:9" ht="21" x14ac:dyDescent="0.3">
      <c r="A15" s="2"/>
      <c r="B15" s="6"/>
      <c r="C15" s="2"/>
      <c r="D15" s="2"/>
      <c r="E15" s="2"/>
      <c r="F15" s="54"/>
      <c r="G15" s="3"/>
      <c r="H15" s="69"/>
      <c r="I15" s="70"/>
    </row>
    <row r="16" spans="1:9" ht="15.6" x14ac:dyDescent="0.3">
      <c r="A16" s="2"/>
      <c r="B16" s="6"/>
      <c r="C16" s="2"/>
      <c r="D16" s="2"/>
      <c r="E16" s="2"/>
      <c r="F16" s="54"/>
      <c r="G16" s="3"/>
    </row>
    <row r="17" spans="1:7" ht="15.6" x14ac:dyDescent="0.3">
      <c r="A17" s="2"/>
      <c r="B17" s="6"/>
      <c r="C17" s="2"/>
      <c r="D17" s="2"/>
      <c r="E17" s="2"/>
      <c r="F17" s="54"/>
      <c r="G17" s="3"/>
    </row>
    <row r="18" spans="1:7" ht="15.6" x14ac:dyDescent="0.3">
      <c r="A18" s="2"/>
      <c r="B18" s="6"/>
      <c r="C18" s="2"/>
      <c r="D18" s="2"/>
      <c r="E18" s="2"/>
      <c r="F18" s="54"/>
      <c r="G18" s="3"/>
    </row>
    <row r="19" spans="1:7" ht="15.6" x14ac:dyDescent="0.3">
      <c r="A19" s="2"/>
      <c r="B19" s="6"/>
      <c r="C19" s="2"/>
      <c r="D19" s="2"/>
      <c r="E19" s="2"/>
      <c r="F19" s="54"/>
      <c r="G19" s="3"/>
    </row>
    <row r="20" spans="1:7" ht="15.6" x14ac:dyDescent="0.3">
      <c r="A20" s="2"/>
      <c r="B20" s="6"/>
      <c r="C20" s="2"/>
      <c r="D20" s="2"/>
      <c r="E20" s="2"/>
      <c r="F20" s="54"/>
      <c r="G20" s="3"/>
    </row>
    <row r="21" spans="1:7" ht="15" x14ac:dyDescent="0.25">
      <c r="A21" s="2"/>
      <c r="B21" s="2"/>
      <c r="C21" s="2"/>
      <c r="D21" s="2"/>
      <c r="E21" s="2"/>
      <c r="F21" s="54"/>
      <c r="G21" s="3"/>
    </row>
    <row r="22" spans="1:7" ht="15" x14ac:dyDescent="0.25">
      <c r="A22" s="2"/>
      <c r="B22" s="2"/>
      <c r="C22" s="2"/>
      <c r="D22" s="2"/>
      <c r="E22" s="2"/>
      <c r="F22" s="54"/>
      <c r="G22" s="3"/>
    </row>
    <row r="23" spans="1:7" ht="15" x14ac:dyDescent="0.25">
      <c r="A23" s="2"/>
      <c r="B23" s="2"/>
      <c r="C23" s="2"/>
      <c r="D23" s="2"/>
      <c r="E23" s="2"/>
      <c r="F23" s="54"/>
      <c r="G23" s="3"/>
    </row>
    <row r="24" spans="1:7" ht="15" x14ac:dyDescent="0.25">
      <c r="A24" s="2"/>
      <c r="B24" s="2"/>
      <c r="C24" s="2"/>
      <c r="D24" s="2"/>
      <c r="E24" s="2"/>
      <c r="F24" s="54"/>
      <c r="G24" s="3"/>
    </row>
    <row r="25" spans="1:7" ht="15" x14ac:dyDescent="0.25">
      <c r="A25" s="2"/>
      <c r="B25" s="2"/>
      <c r="C25" s="2"/>
      <c r="D25" s="2"/>
      <c r="E25" s="2"/>
      <c r="F25" s="54"/>
      <c r="G25" s="3"/>
    </row>
    <row r="26" spans="1:7" ht="15" x14ac:dyDescent="0.25">
      <c r="A26" s="2"/>
      <c r="B26" s="2"/>
      <c r="C26" s="2"/>
      <c r="D26" s="2"/>
      <c r="E26" s="2"/>
      <c r="F26" s="54"/>
      <c r="G26" s="3"/>
    </row>
    <row r="27" spans="1:7" ht="15" x14ac:dyDescent="0.25">
      <c r="A27" s="2"/>
      <c r="B27" s="2"/>
      <c r="C27" s="2"/>
      <c r="D27" s="2"/>
      <c r="E27" s="2"/>
      <c r="F27" s="54"/>
      <c r="G27" s="3"/>
    </row>
    <row r="28" spans="1:7" ht="15" x14ac:dyDescent="0.25">
      <c r="A28" s="2"/>
      <c r="B28" s="2"/>
      <c r="C28" s="2"/>
      <c r="D28" s="2"/>
      <c r="E28" s="2"/>
      <c r="F28" s="54"/>
      <c r="G28" s="3"/>
    </row>
    <row r="29" spans="1:7" ht="15" x14ac:dyDescent="0.25">
      <c r="A29" s="2"/>
      <c r="B29" s="2"/>
      <c r="C29" s="2"/>
      <c r="D29" s="2"/>
      <c r="E29" s="2"/>
      <c r="F29" s="54"/>
      <c r="G29" s="3"/>
    </row>
    <row r="30" spans="1:7" ht="15" x14ac:dyDescent="0.25">
      <c r="A30" s="2"/>
      <c r="B30" s="2"/>
      <c r="C30" s="2"/>
      <c r="D30" s="2"/>
      <c r="E30" s="2"/>
      <c r="F30" s="54"/>
      <c r="G30" s="3"/>
    </row>
    <row r="31" spans="1:7" ht="15" x14ac:dyDescent="0.25">
      <c r="A31" s="2"/>
      <c r="B31" s="2"/>
      <c r="C31" s="2"/>
      <c r="D31" s="2"/>
      <c r="E31" s="2"/>
      <c r="F31" s="54"/>
      <c r="G31" s="3"/>
    </row>
    <row r="32" spans="1:7" ht="15" x14ac:dyDescent="0.25">
      <c r="A32" s="2"/>
      <c r="B32" s="2"/>
      <c r="C32" s="2"/>
      <c r="D32" s="2"/>
      <c r="E32" s="2"/>
      <c r="F32" s="54"/>
      <c r="G32" s="3"/>
    </row>
    <row r="33" spans="1:7" ht="15" x14ac:dyDescent="0.25">
      <c r="A33" s="2"/>
      <c r="B33" s="2"/>
      <c r="C33" s="2"/>
      <c r="D33" s="2"/>
      <c r="E33" s="2"/>
      <c r="F33" s="54"/>
      <c r="G33" s="3"/>
    </row>
    <row r="34" spans="1:7" ht="15" x14ac:dyDescent="0.25">
      <c r="A34" s="2"/>
      <c r="B34" s="2"/>
      <c r="C34" s="2"/>
      <c r="D34" s="2"/>
      <c r="E34" s="2"/>
      <c r="F34" s="54"/>
      <c r="G34" s="3"/>
    </row>
    <row r="35" spans="1:7" ht="15" x14ac:dyDescent="0.25">
      <c r="A35" s="2"/>
      <c r="B35" s="2"/>
      <c r="C35" s="2"/>
      <c r="D35" s="2"/>
      <c r="E35" s="2"/>
      <c r="F35" s="54"/>
      <c r="G35" s="3"/>
    </row>
    <row r="36" spans="1:7" ht="15" x14ac:dyDescent="0.25">
      <c r="A36" s="2"/>
      <c r="B36" s="2"/>
      <c r="C36" s="2"/>
      <c r="D36" s="2"/>
      <c r="E36" s="2"/>
      <c r="F36" s="54"/>
      <c r="G36" s="3"/>
    </row>
    <row r="37" spans="1:7" ht="15" x14ac:dyDescent="0.25">
      <c r="A37" s="2"/>
      <c r="B37" s="2"/>
      <c r="C37" s="2"/>
      <c r="D37" s="2"/>
      <c r="E37" s="2"/>
      <c r="F37" s="54"/>
      <c r="G37" s="3"/>
    </row>
    <row r="38" spans="1:7" ht="15" x14ac:dyDescent="0.25">
      <c r="A38" s="2"/>
      <c r="B38" s="2"/>
      <c r="C38" s="2"/>
      <c r="D38" s="2"/>
      <c r="E38" s="2"/>
      <c r="F38" s="54"/>
      <c r="G38" s="3"/>
    </row>
    <row r="39" spans="1:7" ht="15" x14ac:dyDescent="0.25">
      <c r="A39" s="2"/>
      <c r="B39" s="2"/>
      <c r="C39" s="2"/>
      <c r="D39" s="2"/>
      <c r="E39" s="2"/>
      <c r="F39" s="54"/>
      <c r="G39" s="3"/>
    </row>
    <row r="40" spans="1:7" ht="15" x14ac:dyDescent="0.25">
      <c r="A40" s="2"/>
      <c r="B40" s="2"/>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row r="79" spans="1:7" ht="15" x14ac:dyDescent="0.25">
      <c r="A79" s="2"/>
      <c r="B79" s="2"/>
      <c r="C79" s="2"/>
      <c r="D79" s="2"/>
      <c r="E79" s="2"/>
      <c r="F79" s="54"/>
      <c r="G79" s="3"/>
    </row>
    <row r="80" spans="1:7" ht="15" x14ac:dyDescent="0.25">
      <c r="A80" s="2"/>
      <c r="B80" s="2"/>
      <c r="C80" s="2"/>
      <c r="D80" s="2"/>
      <c r="E80" s="2"/>
      <c r="F80" s="54"/>
      <c r="G80" s="3"/>
    </row>
    <row r="81" spans="1:7" ht="15" x14ac:dyDescent="0.25">
      <c r="A81" s="2"/>
      <c r="B81" s="2"/>
      <c r="C81" s="2"/>
      <c r="D81" s="2"/>
      <c r="E81" s="2"/>
      <c r="F81" s="54"/>
      <c r="G81" s="3"/>
    </row>
    <row r="82" spans="1:7" ht="15" x14ac:dyDescent="0.25">
      <c r="A82" s="2"/>
      <c r="B82" s="2"/>
      <c r="C82" s="2"/>
      <c r="D82" s="2"/>
      <c r="E82" s="2"/>
      <c r="F82" s="54"/>
      <c r="G82" s="3"/>
    </row>
  </sheetData>
  <autoFilter ref="A3:I3" xr:uid="{00000000-0009-0000-0000-000026000000}"/>
  <mergeCells count="17">
    <mergeCell ref="A1:I1"/>
    <mergeCell ref="A2:E2"/>
    <mergeCell ref="F2:I2"/>
    <mergeCell ref="A4:A5"/>
    <mergeCell ref="B4:B5"/>
    <mergeCell ref="C4:C5"/>
    <mergeCell ref="D4:D5"/>
    <mergeCell ref="E4:E5"/>
    <mergeCell ref="F4:F5"/>
    <mergeCell ref="G4:G5"/>
    <mergeCell ref="G6:G7"/>
    <mergeCell ref="A6:A7"/>
    <mergeCell ref="B6:B7"/>
    <mergeCell ref="C6:C7"/>
    <mergeCell ref="D6:D7"/>
    <mergeCell ref="E6:E7"/>
    <mergeCell ref="F6:F7"/>
  </mergeCells>
  <phoneticPr fontId="4" type="noConversion"/>
  <printOptions horizontalCentered="1"/>
  <pageMargins left="0.23622047244094491" right="0.23622047244094491" top="0.59055118110236227" bottom="0.74803149606299213" header="0.31496062992125984" footer="0.31496062992125984"/>
  <pageSetup paperSize="9" scale="54" fitToHeight="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pageSetUpPr fitToPage="1"/>
  </sheetPr>
  <dimension ref="A1:I102"/>
  <sheetViews>
    <sheetView view="pageBreakPreview" zoomScale="90" zoomScaleNormal="90" zoomScaleSheetLayoutView="90" workbookViewId="0">
      <pane ySplit="3" topLeftCell="A16" activePane="bottomLeft" state="frozen"/>
      <selection pane="bottomLeft" activeCell="H23" sqref="H23"/>
    </sheetView>
  </sheetViews>
  <sheetFormatPr defaultColWidth="14.44140625" defaultRowHeight="15.75" customHeight="1" x14ac:dyDescent="0.25"/>
  <cols>
    <col min="1" max="1" width="8.33203125" bestFit="1" customWidth="1"/>
    <col min="2" max="2" width="20.6640625" customWidth="1"/>
    <col min="3" max="3" width="25.6640625" style="1" customWidth="1"/>
    <col min="4" max="5" width="25.6640625" customWidth="1"/>
    <col min="6" max="6" width="80.6640625" style="53" customWidth="1"/>
    <col min="7" max="7" width="20.6640625" customWidth="1"/>
    <col min="8" max="8" width="28.6640625" customWidth="1"/>
    <col min="9" max="9" width="28.6640625" style="12" customWidth="1"/>
  </cols>
  <sheetData>
    <row r="1" spans="1:9" ht="39.75" customHeight="1" x14ac:dyDescent="0.25">
      <c r="A1" s="614" t="s">
        <v>11</v>
      </c>
      <c r="B1" s="614"/>
      <c r="C1" s="614"/>
      <c r="D1" s="614"/>
      <c r="E1" s="614"/>
      <c r="F1" s="614"/>
      <c r="G1" s="614"/>
      <c r="H1" s="614"/>
      <c r="I1" s="614"/>
    </row>
    <row r="2" spans="1:9" s="8" customFormat="1" ht="30.6" x14ac:dyDescent="0.55000000000000004">
      <c r="A2" s="746" t="s">
        <v>12</v>
      </c>
      <c r="B2" s="747"/>
      <c r="C2" s="747"/>
      <c r="D2" s="747"/>
      <c r="E2" s="747"/>
      <c r="F2" s="748" t="s">
        <v>72</v>
      </c>
      <c r="G2" s="748"/>
      <c r="H2" s="748"/>
      <c r="I2" s="749"/>
    </row>
    <row r="3" spans="1:9" s="10" customFormat="1" ht="39.9" customHeight="1" x14ac:dyDescent="0.25">
      <c r="A3" s="17" t="s">
        <v>23</v>
      </c>
      <c r="B3" s="15" t="s">
        <v>14</v>
      </c>
      <c r="C3" s="16" t="s">
        <v>22</v>
      </c>
      <c r="D3" s="14" t="s">
        <v>0</v>
      </c>
      <c r="E3" s="14" t="s">
        <v>2</v>
      </c>
      <c r="F3" s="14" t="s">
        <v>19</v>
      </c>
      <c r="G3" s="15" t="s">
        <v>1</v>
      </c>
      <c r="H3" s="15" t="s">
        <v>15</v>
      </c>
      <c r="I3" s="18" t="s">
        <v>16</v>
      </c>
    </row>
    <row r="4" spans="1:9" s="11" customFormat="1" ht="50.1" customHeight="1" x14ac:dyDescent="0.25">
      <c r="A4" s="381">
        <v>1</v>
      </c>
      <c r="B4" s="697">
        <v>44413</v>
      </c>
      <c r="C4" s="741">
        <v>2021072005002</v>
      </c>
      <c r="D4" s="742" t="s">
        <v>44</v>
      </c>
      <c r="E4" s="744" t="s">
        <v>73</v>
      </c>
      <c r="F4" s="744" t="s">
        <v>88</v>
      </c>
      <c r="G4" s="697">
        <v>44421</v>
      </c>
      <c r="H4" s="39" t="s">
        <v>37</v>
      </c>
      <c r="I4" s="55">
        <v>8376</v>
      </c>
    </row>
    <row r="5" spans="1:9" ht="50.1" customHeight="1" x14ac:dyDescent="0.25">
      <c r="A5" s="381"/>
      <c r="B5" s="697"/>
      <c r="C5" s="741"/>
      <c r="D5" s="742"/>
      <c r="E5" s="744"/>
      <c r="F5" s="744"/>
      <c r="G5" s="697"/>
      <c r="H5" s="39" t="s">
        <v>38</v>
      </c>
      <c r="I5" s="56">
        <v>725</v>
      </c>
    </row>
    <row r="6" spans="1:9" s="11" customFormat="1" ht="99.9" customHeight="1" x14ac:dyDescent="0.25">
      <c r="A6" s="22">
        <v>2</v>
      </c>
      <c r="B6" s="58">
        <v>44413</v>
      </c>
      <c r="C6" s="59">
        <v>2021080305001</v>
      </c>
      <c r="D6" s="60" t="s">
        <v>44</v>
      </c>
      <c r="E6" s="57" t="s">
        <v>74</v>
      </c>
      <c r="F6" s="57" t="s">
        <v>89</v>
      </c>
      <c r="G6" s="58">
        <v>44421</v>
      </c>
      <c r="H6" s="39" t="s">
        <v>99</v>
      </c>
      <c r="I6" s="55">
        <v>1451</v>
      </c>
    </row>
    <row r="7" spans="1:9" s="11" customFormat="1" ht="50.1" customHeight="1" x14ac:dyDescent="0.25">
      <c r="A7" s="381">
        <v>3</v>
      </c>
      <c r="B7" s="697">
        <v>44413</v>
      </c>
      <c r="C7" s="741">
        <v>2021080305004</v>
      </c>
      <c r="D7" s="742" t="s">
        <v>44</v>
      </c>
      <c r="E7" s="744" t="s">
        <v>75</v>
      </c>
      <c r="F7" s="744" t="s">
        <v>90</v>
      </c>
      <c r="G7" s="697">
        <v>44421</v>
      </c>
      <c r="H7" s="39" t="s">
        <v>37</v>
      </c>
      <c r="I7" s="55">
        <v>8376</v>
      </c>
    </row>
    <row r="8" spans="1:9" ht="50.1" customHeight="1" x14ac:dyDescent="0.25">
      <c r="A8" s="381"/>
      <c r="B8" s="697"/>
      <c r="C8" s="741"/>
      <c r="D8" s="742"/>
      <c r="E8" s="744"/>
      <c r="F8" s="744"/>
      <c r="G8" s="697"/>
      <c r="H8" s="39" t="s">
        <v>38</v>
      </c>
      <c r="I8" s="56">
        <v>725</v>
      </c>
    </row>
    <row r="9" spans="1:9" s="11" customFormat="1" ht="50.1" customHeight="1" x14ac:dyDescent="0.25">
      <c r="A9" s="381">
        <v>4</v>
      </c>
      <c r="B9" s="697">
        <v>44413</v>
      </c>
      <c r="C9" s="741">
        <v>2021080305005</v>
      </c>
      <c r="D9" s="742" t="s">
        <v>44</v>
      </c>
      <c r="E9" s="744" t="s">
        <v>76</v>
      </c>
      <c r="F9" s="744" t="s">
        <v>90</v>
      </c>
      <c r="G9" s="697">
        <v>44421</v>
      </c>
      <c r="H9" s="39" t="s">
        <v>37</v>
      </c>
      <c r="I9" s="55">
        <v>8376</v>
      </c>
    </row>
    <row r="10" spans="1:9" ht="50.1" customHeight="1" x14ac:dyDescent="0.25">
      <c r="A10" s="381"/>
      <c r="B10" s="697"/>
      <c r="C10" s="741"/>
      <c r="D10" s="742"/>
      <c r="E10" s="744"/>
      <c r="F10" s="744"/>
      <c r="G10" s="697"/>
      <c r="H10" s="39" t="s">
        <v>38</v>
      </c>
      <c r="I10" s="56">
        <v>725</v>
      </c>
    </row>
    <row r="11" spans="1:9" ht="99.9" customHeight="1" x14ac:dyDescent="0.25">
      <c r="A11" s="22">
        <v>5</v>
      </c>
      <c r="B11" s="58">
        <v>44419</v>
      </c>
      <c r="C11" s="59">
        <v>2021081005003</v>
      </c>
      <c r="D11" s="60" t="s">
        <v>44</v>
      </c>
      <c r="E11" s="57" t="s">
        <v>77</v>
      </c>
      <c r="F11" s="57" t="s">
        <v>91</v>
      </c>
      <c r="G11" s="58">
        <v>44425</v>
      </c>
      <c r="H11" s="39" t="s">
        <v>98</v>
      </c>
      <c r="I11" s="55">
        <v>285</v>
      </c>
    </row>
    <row r="12" spans="1:9" ht="50.1" customHeight="1" x14ac:dyDescent="0.25">
      <c r="A12" s="381">
        <v>6</v>
      </c>
      <c r="B12" s="697">
        <v>44419</v>
      </c>
      <c r="C12" s="741">
        <v>2021080305006</v>
      </c>
      <c r="D12" s="742" t="s">
        <v>44</v>
      </c>
      <c r="E12" s="744" t="s">
        <v>86</v>
      </c>
      <c r="F12" s="744" t="s">
        <v>90</v>
      </c>
      <c r="G12" s="697">
        <v>44425</v>
      </c>
      <c r="H12" s="39" t="s">
        <v>97</v>
      </c>
      <c r="I12" s="55">
        <v>8376</v>
      </c>
    </row>
    <row r="13" spans="1:9" s="7" customFormat="1" ht="50.1" customHeight="1" x14ac:dyDescent="0.25">
      <c r="A13" s="381"/>
      <c r="B13" s="697"/>
      <c r="C13" s="741"/>
      <c r="D13" s="742"/>
      <c r="E13" s="744"/>
      <c r="F13" s="744"/>
      <c r="G13" s="697"/>
      <c r="H13" s="39" t="s">
        <v>38</v>
      </c>
      <c r="I13" s="56">
        <v>725</v>
      </c>
    </row>
    <row r="14" spans="1:9" s="7" customFormat="1" ht="50.1" customHeight="1" x14ac:dyDescent="0.25">
      <c r="A14" s="381">
        <v>7</v>
      </c>
      <c r="B14" s="697">
        <v>44419</v>
      </c>
      <c r="C14" s="741">
        <v>2021080305007</v>
      </c>
      <c r="D14" s="742" t="s">
        <v>44</v>
      </c>
      <c r="E14" s="744" t="s">
        <v>87</v>
      </c>
      <c r="F14" s="744" t="s">
        <v>92</v>
      </c>
      <c r="G14" s="697">
        <v>44425</v>
      </c>
      <c r="H14" s="39" t="s">
        <v>37</v>
      </c>
      <c r="I14" s="55">
        <v>8376</v>
      </c>
    </row>
    <row r="15" spans="1:9" s="7" customFormat="1" ht="50.1" customHeight="1" x14ac:dyDescent="0.25">
      <c r="A15" s="381"/>
      <c r="B15" s="697"/>
      <c r="C15" s="741"/>
      <c r="D15" s="742"/>
      <c r="E15" s="744"/>
      <c r="F15" s="744"/>
      <c r="G15" s="697"/>
      <c r="H15" s="39" t="s">
        <v>38</v>
      </c>
      <c r="I15" s="56">
        <v>725</v>
      </c>
    </row>
    <row r="16" spans="1:9" s="7" customFormat="1" ht="50.1" customHeight="1" x14ac:dyDescent="0.25">
      <c r="A16" s="381">
        <v>8</v>
      </c>
      <c r="B16" s="697">
        <v>44419</v>
      </c>
      <c r="C16" s="741">
        <v>2021080305008</v>
      </c>
      <c r="D16" s="742" t="s">
        <v>44</v>
      </c>
      <c r="E16" s="744" t="s">
        <v>78</v>
      </c>
      <c r="F16" s="744" t="s">
        <v>100</v>
      </c>
      <c r="G16" s="697">
        <v>44425</v>
      </c>
      <c r="H16" s="39" t="s">
        <v>37</v>
      </c>
      <c r="I16" s="55">
        <v>8376</v>
      </c>
    </row>
    <row r="17" spans="1:9" s="7" customFormat="1" ht="50.1" customHeight="1" x14ac:dyDescent="0.25">
      <c r="A17" s="381"/>
      <c r="B17" s="697"/>
      <c r="C17" s="741"/>
      <c r="D17" s="742"/>
      <c r="E17" s="744"/>
      <c r="F17" s="744"/>
      <c r="G17" s="697"/>
      <c r="H17" s="39" t="s">
        <v>38</v>
      </c>
      <c r="I17" s="56">
        <v>725</v>
      </c>
    </row>
    <row r="18" spans="1:9" ht="50.1" customHeight="1" x14ac:dyDescent="0.25">
      <c r="A18" s="381">
        <v>9</v>
      </c>
      <c r="B18" s="697">
        <v>44419</v>
      </c>
      <c r="C18" s="741">
        <v>2021080305010</v>
      </c>
      <c r="D18" s="742" t="s">
        <v>44</v>
      </c>
      <c r="E18" s="744" t="s">
        <v>79</v>
      </c>
      <c r="F18" s="744" t="s">
        <v>93</v>
      </c>
      <c r="G18" s="697">
        <v>44425</v>
      </c>
      <c r="H18" s="39" t="s">
        <v>37</v>
      </c>
      <c r="I18" s="55">
        <v>8376</v>
      </c>
    </row>
    <row r="19" spans="1:9" ht="50.1" customHeight="1" x14ac:dyDescent="0.25">
      <c r="A19" s="381"/>
      <c r="B19" s="697"/>
      <c r="C19" s="741"/>
      <c r="D19" s="742"/>
      <c r="E19" s="744"/>
      <c r="F19" s="744"/>
      <c r="G19" s="697"/>
      <c r="H19" s="39" t="s">
        <v>38</v>
      </c>
      <c r="I19" s="56">
        <v>725</v>
      </c>
    </row>
    <row r="20" spans="1:9" ht="99.9" customHeight="1" x14ac:dyDescent="0.25">
      <c r="A20" s="22">
        <v>10</v>
      </c>
      <c r="B20" s="58">
        <v>44419</v>
      </c>
      <c r="C20" s="59">
        <v>2021080305003</v>
      </c>
      <c r="D20" s="60" t="s">
        <v>44</v>
      </c>
      <c r="E20" s="57" t="s">
        <v>80</v>
      </c>
      <c r="F20" s="57" t="s">
        <v>94</v>
      </c>
      <c r="G20" s="58">
        <v>44425</v>
      </c>
      <c r="H20" s="39" t="s">
        <v>40</v>
      </c>
      <c r="I20" s="56">
        <v>275</v>
      </c>
    </row>
    <row r="21" spans="1:9" ht="50.1" customHeight="1" x14ac:dyDescent="0.25">
      <c r="A21" s="381">
        <v>11</v>
      </c>
      <c r="B21" s="697">
        <v>44426</v>
      </c>
      <c r="C21" s="741">
        <v>2021081605001</v>
      </c>
      <c r="D21" s="742" t="s">
        <v>44</v>
      </c>
      <c r="E21" s="744" t="s">
        <v>81</v>
      </c>
      <c r="F21" s="744" t="s">
        <v>95</v>
      </c>
      <c r="G21" s="697">
        <v>44434</v>
      </c>
      <c r="H21" s="39" t="s">
        <v>37</v>
      </c>
      <c r="I21" s="55">
        <v>8376</v>
      </c>
    </row>
    <row r="22" spans="1:9" ht="50.1" customHeight="1" x14ac:dyDescent="0.25">
      <c r="A22" s="381"/>
      <c r="B22" s="697"/>
      <c r="C22" s="741"/>
      <c r="D22" s="742"/>
      <c r="E22" s="744"/>
      <c r="F22" s="744"/>
      <c r="G22" s="697"/>
      <c r="H22" s="39" t="s">
        <v>38</v>
      </c>
      <c r="I22" s="56">
        <v>725</v>
      </c>
    </row>
    <row r="23" spans="1:9" ht="99.9" customHeight="1" x14ac:dyDescent="0.25">
      <c r="A23" s="59">
        <v>12</v>
      </c>
      <c r="B23" s="58">
        <v>44431</v>
      </c>
      <c r="C23" s="59">
        <v>2021081605002</v>
      </c>
      <c r="D23" s="60" t="s">
        <v>44</v>
      </c>
      <c r="E23" s="57" t="s">
        <v>82</v>
      </c>
      <c r="F23" s="57" t="s">
        <v>96</v>
      </c>
      <c r="G23" s="58">
        <v>44434</v>
      </c>
      <c r="H23" s="39" t="s">
        <v>104</v>
      </c>
      <c r="I23" s="56">
        <v>3040</v>
      </c>
    </row>
    <row r="24" spans="1:9" s="7" customFormat="1" ht="50.1" customHeight="1" x14ac:dyDescent="0.25">
      <c r="A24" s="381">
        <v>13</v>
      </c>
      <c r="B24" s="697">
        <v>44435</v>
      </c>
      <c r="C24" s="741">
        <v>2021082605001</v>
      </c>
      <c r="D24" s="742" t="s">
        <v>44</v>
      </c>
      <c r="E24" s="744" t="s">
        <v>83</v>
      </c>
      <c r="F24" s="744" t="s">
        <v>101</v>
      </c>
      <c r="G24" s="697">
        <v>44439</v>
      </c>
      <c r="H24" s="39" t="s">
        <v>37</v>
      </c>
      <c r="I24" s="55">
        <v>8376</v>
      </c>
    </row>
    <row r="25" spans="1:9" s="7" customFormat="1" ht="50.1" customHeight="1" x14ac:dyDescent="0.25">
      <c r="A25" s="381"/>
      <c r="B25" s="697"/>
      <c r="C25" s="741"/>
      <c r="D25" s="742"/>
      <c r="E25" s="744"/>
      <c r="F25" s="744"/>
      <c r="G25" s="697"/>
      <c r="H25" s="39" t="s">
        <v>38</v>
      </c>
      <c r="I25" s="56">
        <v>725</v>
      </c>
    </row>
    <row r="26" spans="1:9" s="7" customFormat="1" ht="50.1" customHeight="1" x14ac:dyDescent="0.25">
      <c r="A26" s="381">
        <v>14</v>
      </c>
      <c r="B26" s="697">
        <v>44435</v>
      </c>
      <c r="C26" s="741">
        <v>2021082605002</v>
      </c>
      <c r="D26" s="742" t="s">
        <v>44</v>
      </c>
      <c r="E26" s="744" t="s">
        <v>84</v>
      </c>
      <c r="F26" s="744" t="s">
        <v>102</v>
      </c>
      <c r="G26" s="697">
        <v>44439</v>
      </c>
      <c r="H26" s="39" t="s">
        <v>37</v>
      </c>
      <c r="I26" s="55">
        <v>8376</v>
      </c>
    </row>
    <row r="27" spans="1:9" s="7" customFormat="1" ht="50.1" customHeight="1" x14ac:dyDescent="0.25">
      <c r="A27" s="381"/>
      <c r="B27" s="697"/>
      <c r="C27" s="741"/>
      <c r="D27" s="742"/>
      <c r="E27" s="744"/>
      <c r="F27" s="744"/>
      <c r="G27" s="697"/>
      <c r="H27" s="39" t="s">
        <v>38</v>
      </c>
      <c r="I27" s="56">
        <v>725</v>
      </c>
    </row>
    <row r="28" spans="1:9" s="7" customFormat="1" ht="50.1" customHeight="1" x14ac:dyDescent="0.25">
      <c r="A28" s="381">
        <v>15</v>
      </c>
      <c r="B28" s="697">
        <v>44435</v>
      </c>
      <c r="C28" s="741">
        <v>2021082605003</v>
      </c>
      <c r="D28" s="742" t="s">
        <v>44</v>
      </c>
      <c r="E28" s="744" t="s">
        <v>85</v>
      </c>
      <c r="F28" s="744" t="s">
        <v>103</v>
      </c>
      <c r="G28" s="697">
        <v>44439</v>
      </c>
      <c r="H28" s="39" t="s">
        <v>37</v>
      </c>
      <c r="I28" s="55">
        <v>8376</v>
      </c>
    </row>
    <row r="29" spans="1:9" s="7" customFormat="1" ht="50.1" customHeight="1" x14ac:dyDescent="0.25">
      <c r="A29" s="381"/>
      <c r="B29" s="697"/>
      <c r="C29" s="741"/>
      <c r="D29" s="742"/>
      <c r="E29" s="744"/>
      <c r="F29" s="744"/>
      <c r="G29" s="697"/>
      <c r="H29" s="39" t="s">
        <v>38</v>
      </c>
      <c r="I29" s="56">
        <v>725</v>
      </c>
    </row>
    <row r="30" spans="1:9" ht="13.2" x14ac:dyDescent="0.25">
      <c r="H30" s="7"/>
    </row>
    <row r="31" spans="1:9" ht="13.2" x14ac:dyDescent="0.25"/>
    <row r="32" spans="1:9" ht="13.2" x14ac:dyDescent="0.25"/>
    <row r="33" spans="1:7" ht="15.6" x14ac:dyDescent="0.3">
      <c r="A33" s="2"/>
      <c r="B33" s="6"/>
      <c r="C33" s="2"/>
      <c r="D33" s="2"/>
      <c r="E33" s="2"/>
      <c r="F33" s="54"/>
      <c r="G33" s="3"/>
    </row>
    <row r="34" spans="1:7" ht="15.6" x14ac:dyDescent="0.3">
      <c r="A34" s="2"/>
      <c r="B34" s="6"/>
      <c r="C34" s="2"/>
      <c r="D34" s="2"/>
      <c r="E34" s="2"/>
      <c r="F34" s="54"/>
      <c r="G34" s="3"/>
    </row>
    <row r="35" spans="1:7" ht="15.6" x14ac:dyDescent="0.3">
      <c r="A35" s="2"/>
      <c r="B35" s="6"/>
      <c r="C35" s="2"/>
      <c r="D35" s="2"/>
      <c r="E35" s="2"/>
      <c r="F35" s="54"/>
      <c r="G35" s="3"/>
    </row>
    <row r="36" spans="1:7" ht="15.6" x14ac:dyDescent="0.3">
      <c r="A36" s="2"/>
      <c r="B36" s="6"/>
      <c r="C36" s="2"/>
      <c r="D36" s="2"/>
      <c r="E36" s="2"/>
      <c r="F36" s="54"/>
      <c r="G36" s="3"/>
    </row>
    <row r="37" spans="1:7" ht="15.6" x14ac:dyDescent="0.3">
      <c r="A37" s="2"/>
      <c r="B37" s="6"/>
      <c r="C37" s="2"/>
      <c r="D37" s="2"/>
      <c r="E37" s="2"/>
      <c r="F37" s="54"/>
      <c r="G37" s="3"/>
    </row>
    <row r="38" spans="1:7" ht="15.6" x14ac:dyDescent="0.3">
      <c r="A38" s="2"/>
      <c r="B38" s="6"/>
      <c r="C38" s="2"/>
      <c r="D38" s="2"/>
      <c r="E38" s="2"/>
      <c r="F38" s="54"/>
      <c r="G38" s="3"/>
    </row>
    <row r="39" spans="1:7" ht="15.6" x14ac:dyDescent="0.3">
      <c r="A39" s="2"/>
      <c r="B39" s="6"/>
      <c r="C39" s="2"/>
      <c r="D39" s="2"/>
      <c r="E39" s="2"/>
      <c r="F39" s="54"/>
      <c r="G39" s="3"/>
    </row>
    <row r="40" spans="1:7" ht="15.6" x14ac:dyDescent="0.3">
      <c r="A40" s="2"/>
      <c r="B40" s="6"/>
      <c r="C40" s="2"/>
      <c r="D40" s="2"/>
      <c r="E40" s="2"/>
      <c r="F40" s="54"/>
      <c r="G40" s="3"/>
    </row>
    <row r="41" spans="1:7" ht="15" x14ac:dyDescent="0.25">
      <c r="A41" s="2"/>
      <c r="B41" s="2"/>
      <c r="C41" s="2"/>
      <c r="D41" s="2"/>
      <c r="E41" s="2"/>
      <c r="F41" s="54"/>
      <c r="G41" s="3"/>
    </row>
    <row r="42" spans="1:7" ht="15" x14ac:dyDescent="0.25">
      <c r="A42" s="2"/>
      <c r="B42" s="2"/>
      <c r="C42" s="2"/>
      <c r="D42" s="2"/>
      <c r="E42" s="2"/>
      <c r="F42" s="54"/>
      <c r="G42" s="3"/>
    </row>
    <row r="43" spans="1:7" ht="15" x14ac:dyDescent="0.25">
      <c r="A43" s="2"/>
      <c r="B43" s="2"/>
      <c r="C43" s="2"/>
      <c r="D43" s="2"/>
      <c r="E43" s="2"/>
      <c r="F43" s="54"/>
      <c r="G43" s="3"/>
    </row>
    <row r="44" spans="1:7" ht="15" x14ac:dyDescent="0.25">
      <c r="A44" s="2"/>
      <c r="B44" s="2"/>
      <c r="C44" s="2"/>
      <c r="D44" s="2"/>
      <c r="E44" s="2"/>
      <c r="F44" s="54"/>
      <c r="G44" s="3"/>
    </row>
    <row r="45" spans="1:7" ht="15" x14ac:dyDescent="0.25">
      <c r="A45" s="2"/>
      <c r="B45" s="2"/>
      <c r="C45" s="2"/>
      <c r="D45" s="2"/>
      <c r="E45" s="2"/>
      <c r="F45" s="54"/>
      <c r="G45" s="3"/>
    </row>
    <row r="46" spans="1:7" ht="15" x14ac:dyDescent="0.25">
      <c r="A46" s="2"/>
      <c r="B46" s="2"/>
      <c r="C46" s="2"/>
      <c r="D46" s="2"/>
      <c r="E46" s="2"/>
      <c r="F46" s="54"/>
      <c r="G46" s="3"/>
    </row>
    <row r="47" spans="1:7" ht="15" x14ac:dyDescent="0.25">
      <c r="A47" s="2"/>
      <c r="B47" s="2"/>
      <c r="C47" s="2"/>
      <c r="D47" s="2"/>
      <c r="E47" s="2"/>
      <c r="F47" s="54"/>
      <c r="G47" s="3"/>
    </row>
    <row r="48" spans="1:7" ht="15" x14ac:dyDescent="0.25">
      <c r="A48" s="2"/>
      <c r="B48" s="2"/>
      <c r="C48" s="2"/>
      <c r="D48" s="2"/>
      <c r="E48" s="2"/>
      <c r="F48" s="54"/>
      <c r="G48" s="3"/>
    </row>
    <row r="49" spans="1:7" ht="15" x14ac:dyDescent="0.25">
      <c r="A49" s="2"/>
      <c r="B49" s="2"/>
      <c r="C49" s="2"/>
      <c r="D49" s="2"/>
      <c r="E49" s="2"/>
      <c r="F49" s="54"/>
      <c r="G49" s="3"/>
    </row>
    <row r="50" spans="1:7" ht="15" x14ac:dyDescent="0.25">
      <c r="A50" s="2"/>
      <c r="B50" s="2"/>
      <c r="C50" s="2"/>
      <c r="D50" s="2"/>
      <c r="E50" s="2"/>
      <c r="F50" s="54"/>
      <c r="G50" s="3"/>
    </row>
    <row r="51" spans="1:7" ht="15" x14ac:dyDescent="0.25">
      <c r="A51" s="2"/>
      <c r="B51" s="2"/>
      <c r="C51" s="2"/>
      <c r="D51" s="2"/>
      <c r="E51" s="2"/>
      <c r="F51" s="54"/>
      <c r="G51" s="3"/>
    </row>
    <row r="52" spans="1:7" ht="15" x14ac:dyDescent="0.25">
      <c r="A52" s="2"/>
      <c r="B52" s="2"/>
      <c r="C52" s="2"/>
      <c r="D52" s="2"/>
      <c r="E52" s="2"/>
      <c r="F52" s="54"/>
      <c r="G52" s="3"/>
    </row>
    <row r="53" spans="1:7" ht="15" x14ac:dyDescent="0.25">
      <c r="A53" s="2"/>
      <c r="B53" s="2"/>
      <c r="C53" s="2"/>
      <c r="D53" s="2"/>
      <c r="E53" s="2"/>
      <c r="F53" s="54"/>
      <c r="G53" s="3"/>
    </row>
    <row r="54" spans="1:7" ht="15" x14ac:dyDescent="0.25">
      <c r="A54" s="2"/>
      <c r="B54" s="2"/>
      <c r="C54" s="2"/>
      <c r="D54" s="2"/>
      <c r="E54" s="2"/>
      <c r="F54" s="54"/>
      <c r="G54" s="3"/>
    </row>
    <row r="55" spans="1:7" ht="15" x14ac:dyDescent="0.25">
      <c r="A55" s="2"/>
      <c r="B55" s="2"/>
      <c r="C55" s="2"/>
      <c r="D55" s="2"/>
      <c r="E55" s="2"/>
      <c r="F55" s="54"/>
      <c r="G55" s="3"/>
    </row>
    <row r="56" spans="1:7" ht="15" x14ac:dyDescent="0.25">
      <c r="A56" s="2"/>
      <c r="B56" s="2"/>
      <c r="C56" s="2"/>
      <c r="D56" s="2"/>
      <c r="E56" s="2"/>
      <c r="F56" s="54"/>
      <c r="G56" s="3"/>
    </row>
    <row r="57" spans="1:7" ht="15" x14ac:dyDescent="0.25">
      <c r="A57" s="2"/>
      <c r="B57" s="2"/>
      <c r="C57" s="2"/>
      <c r="D57" s="2"/>
      <c r="E57" s="2"/>
      <c r="F57" s="54"/>
      <c r="G57" s="3"/>
    </row>
    <row r="58" spans="1:7" ht="15" x14ac:dyDescent="0.25">
      <c r="A58" s="2"/>
      <c r="B58" s="2"/>
      <c r="C58" s="2"/>
      <c r="D58" s="2"/>
      <c r="E58" s="2"/>
      <c r="F58" s="54"/>
      <c r="G58" s="3"/>
    </row>
    <row r="59" spans="1:7" ht="15" x14ac:dyDescent="0.25">
      <c r="A59" s="2"/>
      <c r="B59" s="2"/>
      <c r="C59" s="2"/>
      <c r="D59" s="2"/>
      <c r="E59" s="2"/>
      <c r="F59" s="54"/>
      <c r="G59" s="3"/>
    </row>
    <row r="60" spans="1:7" ht="15" x14ac:dyDescent="0.25">
      <c r="A60" s="2"/>
      <c r="B60" s="2"/>
      <c r="C60" s="2"/>
      <c r="D60" s="2"/>
      <c r="E60" s="2"/>
      <c r="F60" s="54"/>
      <c r="G60" s="3"/>
    </row>
    <row r="61" spans="1:7" ht="15" x14ac:dyDescent="0.25">
      <c r="A61" s="2"/>
      <c r="B61" s="2"/>
      <c r="C61" s="2"/>
      <c r="D61" s="2"/>
      <c r="E61" s="2"/>
      <c r="F61" s="54"/>
      <c r="G61" s="3"/>
    </row>
    <row r="62" spans="1:7" ht="15" x14ac:dyDescent="0.25">
      <c r="A62" s="2"/>
      <c r="B62" s="2"/>
      <c r="C62" s="2"/>
      <c r="D62" s="2"/>
      <c r="E62" s="2"/>
      <c r="F62" s="54"/>
      <c r="G62" s="3"/>
    </row>
    <row r="63" spans="1:7" ht="15" x14ac:dyDescent="0.25">
      <c r="A63" s="2"/>
      <c r="B63" s="2"/>
      <c r="C63" s="2"/>
      <c r="D63" s="2"/>
      <c r="E63" s="2"/>
      <c r="F63" s="54"/>
      <c r="G63" s="3"/>
    </row>
    <row r="64" spans="1:7" ht="15" x14ac:dyDescent="0.25">
      <c r="A64" s="2"/>
      <c r="B64" s="2"/>
      <c r="C64" s="2"/>
      <c r="D64" s="2"/>
      <c r="E64" s="2"/>
      <c r="F64" s="54"/>
      <c r="G64" s="3"/>
    </row>
    <row r="65" spans="1:7" ht="15" x14ac:dyDescent="0.25">
      <c r="A65" s="2"/>
      <c r="B65" s="2"/>
      <c r="C65" s="2"/>
      <c r="D65" s="2"/>
      <c r="E65" s="2"/>
      <c r="F65" s="54"/>
      <c r="G65" s="3"/>
    </row>
    <row r="66" spans="1:7" ht="15" x14ac:dyDescent="0.25">
      <c r="A66" s="2"/>
      <c r="B66" s="2"/>
      <c r="C66" s="2"/>
      <c r="D66" s="2"/>
      <c r="E66" s="2"/>
      <c r="F66" s="54"/>
      <c r="G66" s="3"/>
    </row>
    <row r="67" spans="1:7" ht="15" x14ac:dyDescent="0.25">
      <c r="A67" s="2"/>
      <c r="B67" s="2"/>
      <c r="C67" s="2"/>
      <c r="D67" s="2"/>
      <c r="E67" s="2"/>
      <c r="F67" s="54"/>
      <c r="G67" s="3"/>
    </row>
    <row r="68" spans="1:7" ht="15" x14ac:dyDescent="0.25">
      <c r="A68" s="2"/>
      <c r="B68" s="2"/>
      <c r="C68" s="2"/>
      <c r="D68" s="2"/>
      <c r="E68" s="2"/>
      <c r="F68" s="54"/>
      <c r="G68" s="3"/>
    </row>
    <row r="69" spans="1:7" ht="15" x14ac:dyDescent="0.25">
      <c r="A69" s="2"/>
      <c r="B69" s="2"/>
      <c r="C69" s="2"/>
      <c r="D69" s="2"/>
      <c r="E69" s="2"/>
      <c r="F69" s="54"/>
      <c r="G69" s="3"/>
    </row>
    <row r="70" spans="1:7" ht="15" x14ac:dyDescent="0.25">
      <c r="A70" s="2"/>
      <c r="B70" s="2"/>
      <c r="C70" s="2"/>
      <c r="D70" s="2"/>
      <c r="E70" s="2"/>
      <c r="F70" s="54"/>
      <c r="G70" s="3"/>
    </row>
    <row r="71" spans="1:7" ht="15" x14ac:dyDescent="0.25">
      <c r="A71" s="2"/>
      <c r="B71" s="2"/>
      <c r="C71" s="2"/>
      <c r="D71" s="2"/>
      <c r="E71" s="2"/>
      <c r="F71" s="54"/>
      <c r="G71" s="3"/>
    </row>
    <row r="72" spans="1:7" ht="15" x14ac:dyDescent="0.25">
      <c r="A72" s="2"/>
      <c r="B72" s="2"/>
      <c r="C72" s="2"/>
      <c r="D72" s="2"/>
      <c r="E72" s="2"/>
      <c r="F72" s="54"/>
      <c r="G72" s="3"/>
    </row>
    <row r="73" spans="1:7" ht="15" x14ac:dyDescent="0.25">
      <c r="A73" s="2"/>
      <c r="B73" s="2"/>
      <c r="C73" s="2"/>
      <c r="D73" s="2"/>
      <c r="E73" s="2"/>
      <c r="F73" s="54"/>
      <c r="G73" s="3"/>
    </row>
    <row r="74" spans="1:7" ht="15" x14ac:dyDescent="0.25">
      <c r="A74" s="2"/>
      <c r="B74" s="2"/>
      <c r="C74" s="2"/>
      <c r="D74" s="2"/>
      <c r="E74" s="2"/>
      <c r="F74" s="54"/>
      <c r="G74" s="3"/>
    </row>
    <row r="75" spans="1:7" ht="15" x14ac:dyDescent="0.25">
      <c r="A75" s="2"/>
      <c r="B75" s="2"/>
      <c r="C75" s="2"/>
      <c r="D75" s="2"/>
      <c r="E75" s="2"/>
      <c r="F75" s="54"/>
      <c r="G75" s="3"/>
    </row>
    <row r="76" spans="1:7" ht="15" x14ac:dyDescent="0.25">
      <c r="A76" s="2"/>
      <c r="B76" s="2"/>
      <c r="C76" s="2"/>
      <c r="D76" s="2"/>
      <c r="E76" s="2"/>
      <c r="F76" s="54"/>
      <c r="G76" s="3"/>
    </row>
    <row r="77" spans="1:7" ht="15" x14ac:dyDescent="0.25">
      <c r="A77" s="2"/>
      <c r="B77" s="2"/>
      <c r="C77" s="2"/>
      <c r="D77" s="2"/>
      <c r="E77" s="2"/>
      <c r="F77" s="54"/>
      <c r="G77" s="3"/>
    </row>
    <row r="78" spans="1:7" ht="15" x14ac:dyDescent="0.25">
      <c r="A78" s="2"/>
      <c r="B78" s="2"/>
      <c r="C78" s="2"/>
      <c r="D78" s="2"/>
      <c r="E78" s="2"/>
      <c r="F78" s="54"/>
      <c r="G78" s="3"/>
    </row>
    <row r="79" spans="1:7" ht="15" x14ac:dyDescent="0.25">
      <c r="A79" s="2"/>
      <c r="B79" s="2"/>
      <c r="C79" s="2"/>
      <c r="D79" s="2"/>
      <c r="E79" s="2"/>
      <c r="F79" s="54"/>
      <c r="G79" s="3"/>
    </row>
    <row r="80" spans="1:7" ht="15" x14ac:dyDescent="0.25">
      <c r="A80" s="2"/>
      <c r="B80" s="2"/>
      <c r="C80" s="2"/>
      <c r="D80" s="2"/>
      <c r="E80" s="2"/>
      <c r="F80" s="54"/>
      <c r="G80" s="3"/>
    </row>
    <row r="81" spans="1:7" ht="15" x14ac:dyDescent="0.25">
      <c r="A81" s="2"/>
      <c r="B81" s="2"/>
      <c r="C81" s="2"/>
      <c r="D81" s="2"/>
      <c r="E81" s="2"/>
      <c r="F81" s="54"/>
      <c r="G81" s="3"/>
    </row>
    <row r="82" spans="1:7" ht="15" x14ac:dyDescent="0.25">
      <c r="A82" s="2"/>
      <c r="B82" s="2"/>
      <c r="C82" s="2"/>
      <c r="D82" s="2"/>
      <c r="E82" s="2"/>
      <c r="F82" s="54"/>
      <c r="G82" s="3"/>
    </row>
    <row r="83" spans="1:7" ht="15" x14ac:dyDescent="0.25">
      <c r="A83" s="2"/>
      <c r="B83" s="2"/>
      <c r="C83" s="2"/>
      <c r="D83" s="2"/>
      <c r="E83" s="2"/>
      <c r="F83" s="54"/>
      <c r="G83" s="3"/>
    </row>
    <row r="84" spans="1:7" ht="15" x14ac:dyDescent="0.25">
      <c r="A84" s="2"/>
      <c r="B84" s="2"/>
      <c r="C84" s="2"/>
      <c r="D84" s="2"/>
      <c r="E84" s="2"/>
      <c r="F84" s="54"/>
      <c r="G84" s="3"/>
    </row>
    <row r="85" spans="1:7" ht="15" x14ac:dyDescent="0.25">
      <c r="A85" s="2"/>
      <c r="B85" s="2"/>
      <c r="C85" s="2"/>
      <c r="D85" s="2"/>
      <c r="E85" s="2"/>
      <c r="F85" s="54"/>
      <c r="G85" s="3"/>
    </row>
    <row r="86" spans="1:7" ht="15" x14ac:dyDescent="0.25">
      <c r="A86" s="2"/>
      <c r="B86" s="2"/>
      <c r="C86" s="2"/>
      <c r="D86" s="2"/>
      <c r="E86" s="2"/>
      <c r="F86" s="54"/>
      <c r="G86" s="3"/>
    </row>
    <row r="87" spans="1:7" ht="15" x14ac:dyDescent="0.25">
      <c r="A87" s="2"/>
      <c r="B87" s="2"/>
      <c r="C87" s="2"/>
      <c r="D87" s="2"/>
      <c r="E87" s="2"/>
      <c r="F87" s="54"/>
      <c r="G87" s="3"/>
    </row>
    <row r="88" spans="1:7" ht="15" x14ac:dyDescent="0.25">
      <c r="A88" s="2"/>
      <c r="B88" s="2"/>
      <c r="C88" s="2"/>
      <c r="D88" s="2"/>
      <c r="E88" s="2"/>
      <c r="F88" s="54"/>
      <c r="G88" s="3"/>
    </row>
    <row r="89" spans="1:7" ht="15" x14ac:dyDescent="0.25">
      <c r="A89" s="2"/>
      <c r="B89" s="2"/>
      <c r="C89" s="2"/>
      <c r="D89" s="2"/>
      <c r="E89" s="2"/>
      <c r="F89" s="54"/>
      <c r="G89" s="3"/>
    </row>
    <row r="90" spans="1:7" ht="15" x14ac:dyDescent="0.25">
      <c r="A90" s="2"/>
      <c r="B90" s="2"/>
      <c r="C90" s="2"/>
      <c r="D90" s="2"/>
      <c r="E90" s="2"/>
      <c r="F90" s="54"/>
      <c r="G90" s="3"/>
    </row>
    <row r="91" spans="1:7" ht="15" x14ac:dyDescent="0.25">
      <c r="A91" s="2"/>
      <c r="B91" s="2"/>
      <c r="C91" s="2"/>
      <c r="D91" s="2"/>
      <c r="E91" s="2"/>
      <c r="F91" s="54"/>
      <c r="G91" s="3"/>
    </row>
    <row r="92" spans="1:7" ht="15" x14ac:dyDescent="0.25">
      <c r="A92" s="2"/>
      <c r="B92" s="2"/>
      <c r="C92" s="2"/>
      <c r="D92" s="2"/>
      <c r="E92" s="2"/>
      <c r="F92" s="54"/>
      <c r="G92" s="3"/>
    </row>
    <row r="93" spans="1:7" ht="15" x14ac:dyDescent="0.25">
      <c r="A93" s="2"/>
      <c r="B93" s="2"/>
      <c r="C93" s="2"/>
      <c r="D93" s="2"/>
      <c r="E93" s="2"/>
      <c r="F93" s="54"/>
      <c r="G93" s="3"/>
    </row>
    <row r="94" spans="1:7" ht="15" x14ac:dyDescent="0.25">
      <c r="A94" s="2"/>
      <c r="B94" s="2"/>
      <c r="C94" s="2"/>
      <c r="D94" s="2"/>
      <c r="E94" s="2"/>
      <c r="F94" s="54"/>
      <c r="G94" s="3"/>
    </row>
    <row r="95" spans="1:7" ht="15" x14ac:dyDescent="0.25">
      <c r="A95" s="2"/>
      <c r="B95" s="2"/>
      <c r="C95" s="2"/>
      <c r="D95" s="2"/>
      <c r="E95" s="2"/>
      <c r="F95" s="54"/>
      <c r="G95" s="3"/>
    </row>
    <row r="96" spans="1:7" ht="15" x14ac:dyDescent="0.25">
      <c r="A96" s="2"/>
      <c r="B96" s="2"/>
      <c r="C96" s="2"/>
      <c r="D96" s="2"/>
      <c r="E96" s="2"/>
      <c r="F96" s="54"/>
      <c r="G96" s="3"/>
    </row>
    <row r="97" spans="1:7" ht="15" x14ac:dyDescent="0.25">
      <c r="A97" s="2"/>
      <c r="B97" s="2"/>
      <c r="C97" s="2"/>
      <c r="D97" s="2"/>
      <c r="E97" s="2"/>
      <c r="F97" s="54"/>
      <c r="G97" s="3"/>
    </row>
    <row r="98" spans="1:7" ht="15" x14ac:dyDescent="0.25">
      <c r="A98" s="2"/>
      <c r="B98" s="2"/>
      <c r="C98" s="2"/>
      <c r="D98" s="2"/>
      <c r="E98" s="2"/>
      <c r="F98" s="54"/>
      <c r="G98" s="3"/>
    </row>
    <row r="99" spans="1:7" ht="15" x14ac:dyDescent="0.25">
      <c r="A99" s="2"/>
      <c r="B99" s="2"/>
      <c r="C99" s="2"/>
      <c r="D99" s="2"/>
      <c r="E99" s="2"/>
      <c r="F99" s="54"/>
      <c r="G99" s="3"/>
    </row>
    <row r="100" spans="1:7" ht="15" x14ac:dyDescent="0.25">
      <c r="A100" s="2"/>
      <c r="B100" s="2"/>
      <c r="C100" s="2"/>
      <c r="D100" s="2"/>
      <c r="E100" s="2"/>
      <c r="F100" s="54"/>
      <c r="G100" s="3"/>
    </row>
    <row r="101" spans="1:7" ht="15" x14ac:dyDescent="0.25">
      <c r="A101" s="2"/>
      <c r="B101" s="2"/>
      <c r="C101" s="2"/>
      <c r="D101" s="2"/>
      <c r="E101" s="2"/>
      <c r="F101" s="54"/>
      <c r="G101" s="3"/>
    </row>
    <row r="102" spans="1:7" ht="15" x14ac:dyDescent="0.25">
      <c r="A102" s="2"/>
      <c r="B102" s="2"/>
      <c r="C102" s="2"/>
      <c r="D102" s="2"/>
      <c r="E102" s="2"/>
      <c r="F102" s="54"/>
      <c r="G102" s="3"/>
    </row>
  </sheetData>
  <mergeCells count="80">
    <mergeCell ref="D12:D13"/>
    <mergeCell ref="E12:E13"/>
    <mergeCell ref="A1:I1"/>
    <mergeCell ref="A2:E2"/>
    <mergeCell ref="F2:I2"/>
    <mergeCell ref="A9:A10"/>
    <mergeCell ref="B9:B10"/>
    <mergeCell ref="C9:C10"/>
    <mergeCell ref="D9:D10"/>
    <mergeCell ref="E9:E10"/>
    <mergeCell ref="F9:F10"/>
    <mergeCell ref="G9:G10"/>
    <mergeCell ref="G4:G5"/>
    <mergeCell ref="F4:F5"/>
    <mergeCell ref="A4:A5"/>
    <mergeCell ref="B4:B5"/>
    <mergeCell ref="D18:D19"/>
    <mergeCell ref="E18:E19"/>
    <mergeCell ref="G18:G19"/>
    <mergeCell ref="G16:G17"/>
    <mergeCell ref="A14:A15"/>
    <mergeCell ref="B14:B15"/>
    <mergeCell ref="C14:C15"/>
    <mergeCell ref="D14:D15"/>
    <mergeCell ref="E14:E15"/>
    <mergeCell ref="F14:F15"/>
    <mergeCell ref="F16:F17"/>
    <mergeCell ref="C4:C5"/>
    <mergeCell ref="D4:D5"/>
    <mergeCell ref="E4:E5"/>
    <mergeCell ref="F7:F8"/>
    <mergeCell ref="G7:G8"/>
    <mergeCell ref="A7:A8"/>
    <mergeCell ref="B7:B8"/>
    <mergeCell ref="C7:C8"/>
    <mergeCell ref="D7:D8"/>
    <mergeCell ref="E7:E8"/>
    <mergeCell ref="G12:G13"/>
    <mergeCell ref="A12:A13"/>
    <mergeCell ref="B12:B13"/>
    <mergeCell ref="C12:C13"/>
    <mergeCell ref="G21:G22"/>
    <mergeCell ref="F12:F13"/>
    <mergeCell ref="A16:A17"/>
    <mergeCell ref="B16:B17"/>
    <mergeCell ref="C16:C17"/>
    <mergeCell ref="D16:D17"/>
    <mergeCell ref="E16:E17"/>
    <mergeCell ref="F18:F19"/>
    <mergeCell ref="G14:G15"/>
    <mergeCell ref="A18:A19"/>
    <mergeCell ref="B18:B19"/>
    <mergeCell ref="C18:C19"/>
    <mergeCell ref="F24:F25"/>
    <mergeCell ref="G24:G25"/>
    <mergeCell ref="A21:A22"/>
    <mergeCell ref="B21:B22"/>
    <mergeCell ref="C21:C22"/>
    <mergeCell ref="D21:D22"/>
    <mergeCell ref="E21:E22"/>
    <mergeCell ref="F21:F22"/>
    <mergeCell ref="A24:A25"/>
    <mergeCell ref="B24:B25"/>
    <mergeCell ref="C24:C25"/>
    <mergeCell ref="D24:D25"/>
    <mergeCell ref="E24:E25"/>
    <mergeCell ref="G26:G27"/>
    <mergeCell ref="A28:A29"/>
    <mergeCell ref="B28:B29"/>
    <mergeCell ref="C28:C29"/>
    <mergeCell ref="D28:D29"/>
    <mergeCell ref="E28:E29"/>
    <mergeCell ref="F28:F29"/>
    <mergeCell ref="G28:G29"/>
    <mergeCell ref="A26:A27"/>
    <mergeCell ref="B26:B27"/>
    <mergeCell ref="C26:C27"/>
    <mergeCell ref="D26:D27"/>
    <mergeCell ref="E26:E27"/>
    <mergeCell ref="F26:F27"/>
  </mergeCells>
  <phoneticPr fontId="4" type="noConversion"/>
  <printOptions horizontalCentered="1"/>
  <pageMargins left="0.23622047244094491" right="0.23622047244094491" top="0.59055118110236227" bottom="0.74803149606299213" header="0.31496062992125984" footer="0.31496062992125984"/>
  <pageSetup paperSize="9" scale="55" fitToHeight="0" orientation="landscape" r:id="rId1"/>
  <rowBreaks count="1" manualBreakCount="1">
    <brk id="17"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pageSetUpPr fitToPage="1"/>
  </sheetPr>
  <dimension ref="A1:I97"/>
  <sheetViews>
    <sheetView view="pageBreakPreview" zoomScale="70" zoomScaleNormal="90" zoomScaleSheetLayoutView="70" workbookViewId="0">
      <pane ySplit="3" topLeftCell="A4" activePane="bottomLeft" state="frozen"/>
      <selection pane="bottomLeft" activeCell="E30" sqref="E30"/>
    </sheetView>
  </sheetViews>
  <sheetFormatPr defaultColWidth="14.44140625" defaultRowHeight="15.75" customHeight="1" x14ac:dyDescent="0.25"/>
  <cols>
    <col min="1" max="1" width="8.33203125" bestFit="1" customWidth="1"/>
    <col min="2" max="2" width="17.33203125" bestFit="1" customWidth="1"/>
    <col min="3" max="3" width="25.6640625" style="1" customWidth="1"/>
    <col min="4" max="4" width="25.6640625" customWidth="1"/>
    <col min="5" max="5" width="50" bestFit="1" customWidth="1"/>
    <col min="6" max="6" width="90.6640625" customWidth="1"/>
    <col min="7" max="8" width="28.6640625" customWidth="1"/>
    <col min="9" max="9" width="28.6640625" style="12" customWidth="1"/>
  </cols>
  <sheetData>
    <row r="1" spans="1:9" ht="39.75" customHeight="1" x14ac:dyDescent="0.25">
      <c r="A1" s="614" t="s">
        <v>11</v>
      </c>
      <c r="B1" s="614"/>
      <c r="C1" s="614"/>
      <c r="D1" s="614"/>
      <c r="E1" s="614"/>
      <c r="F1" s="614"/>
      <c r="G1" s="614"/>
      <c r="H1" s="614"/>
      <c r="I1" s="614"/>
    </row>
    <row r="2" spans="1:9" s="8" customFormat="1" ht="30.6" x14ac:dyDescent="0.55000000000000004">
      <c r="A2" s="746" t="s">
        <v>12</v>
      </c>
      <c r="B2" s="747"/>
      <c r="C2" s="747"/>
      <c r="D2" s="747"/>
      <c r="E2" s="747"/>
      <c r="F2" s="748" t="s">
        <v>43</v>
      </c>
      <c r="G2" s="748"/>
      <c r="H2" s="748"/>
      <c r="I2" s="749"/>
    </row>
    <row r="3" spans="1:9" s="10" customFormat="1" ht="39.9" customHeight="1" x14ac:dyDescent="0.25">
      <c r="A3" s="17" t="s">
        <v>23</v>
      </c>
      <c r="B3" s="15" t="s">
        <v>14</v>
      </c>
      <c r="C3" s="16" t="s">
        <v>22</v>
      </c>
      <c r="D3" s="14" t="s">
        <v>0</v>
      </c>
      <c r="E3" s="14" t="s">
        <v>2</v>
      </c>
      <c r="F3" s="14" t="s">
        <v>19</v>
      </c>
      <c r="G3" s="15" t="s">
        <v>1</v>
      </c>
      <c r="H3" s="15" t="s">
        <v>15</v>
      </c>
      <c r="I3" s="18" t="s">
        <v>16</v>
      </c>
    </row>
    <row r="4" spans="1:9" s="10" customFormat="1" ht="90" customHeight="1" x14ac:dyDescent="0.25">
      <c r="A4" s="19">
        <v>1</v>
      </c>
      <c r="B4" s="48">
        <v>44383</v>
      </c>
      <c r="C4" s="46">
        <v>2021070602001</v>
      </c>
      <c r="D4" s="32" t="s">
        <v>44</v>
      </c>
      <c r="E4" s="34" t="s">
        <v>45</v>
      </c>
      <c r="F4" s="40" t="s">
        <v>55</v>
      </c>
      <c r="G4" s="48">
        <v>44391</v>
      </c>
      <c r="H4" s="39" t="s">
        <v>39</v>
      </c>
      <c r="I4" s="41">
        <v>1169</v>
      </c>
    </row>
    <row r="5" spans="1:9" s="11" customFormat="1" ht="90" customHeight="1" x14ac:dyDescent="0.25">
      <c r="A5" s="19">
        <v>2</v>
      </c>
      <c r="B5" s="48">
        <v>44385</v>
      </c>
      <c r="C5" s="46">
        <v>2021070802002</v>
      </c>
      <c r="D5" s="32" t="s">
        <v>44</v>
      </c>
      <c r="E5" s="50" t="s">
        <v>46</v>
      </c>
      <c r="F5" s="50" t="s">
        <v>56</v>
      </c>
      <c r="G5" s="48">
        <v>44400</v>
      </c>
      <c r="H5" s="39" t="s">
        <v>66</v>
      </c>
      <c r="I5" s="41">
        <v>19253</v>
      </c>
    </row>
    <row r="6" spans="1:9" s="11" customFormat="1" ht="90" customHeight="1" x14ac:dyDescent="0.25">
      <c r="A6" s="19">
        <v>3</v>
      </c>
      <c r="B6" s="48">
        <v>44385</v>
      </c>
      <c r="C6" s="46">
        <v>2021070802003</v>
      </c>
      <c r="D6" s="32" t="s">
        <v>44</v>
      </c>
      <c r="E6" s="50" t="s">
        <v>47</v>
      </c>
      <c r="F6" s="50" t="s">
        <v>57</v>
      </c>
      <c r="G6" s="48">
        <v>44389</v>
      </c>
      <c r="H6" s="39" t="s">
        <v>68</v>
      </c>
      <c r="I6" s="41">
        <v>4560</v>
      </c>
    </row>
    <row r="7" spans="1:9" s="11" customFormat="1" ht="45" customHeight="1" x14ac:dyDescent="0.25">
      <c r="A7" s="392">
        <v>4</v>
      </c>
      <c r="B7" s="759">
        <v>44385</v>
      </c>
      <c r="C7" s="745">
        <v>2021070802004</v>
      </c>
      <c r="D7" s="760" t="s">
        <v>44</v>
      </c>
      <c r="E7" s="758" t="s">
        <v>48</v>
      </c>
      <c r="F7" s="758" t="s">
        <v>58</v>
      </c>
      <c r="G7" s="759">
        <v>44389</v>
      </c>
      <c r="H7" s="39" t="s">
        <v>37</v>
      </c>
      <c r="I7" s="41">
        <v>8376</v>
      </c>
    </row>
    <row r="8" spans="1:9" ht="45" customHeight="1" x14ac:dyDescent="0.25">
      <c r="A8" s="392"/>
      <c r="B8" s="759"/>
      <c r="C8" s="745"/>
      <c r="D8" s="760"/>
      <c r="E8" s="758"/>
      <c r="F8" s="758"/>
      <c r="G8" s="759"/>
      <c r="H8" s="39" t="s">
        <v>38</v>
      </c>
      <c r="I8" s="42">
        <v>725</v>
      </c>
    </row>
    <row r="9" spans="1:9" ht="45" customHeight="1" x14ac:dyDescent="0.25">
      <c r="A9" s="392">
        <v>5</v>
      </c>
      <c r="B9" s="759">
        <v>44385</v>
      </c>
      <c r="C9" s="745">
        <v>2021070802005</v>
      </c>
      <c r="D9" s="760" t="s">
        <v>44</v>
      </c>
      <c r="E9" s="758" t="s">
        <v>49</v>
      </c>
      <c r="F9" s="758" t="s">
        <v>59</v>
      </c>
      <c r="G9" s="759">
        <v>44389</v>
      </c>
      <c r="H9" s="39" t="s">
        <v>37</v>
      </c>
      <c r="I9" s="41">
        <v>8376</v>
      </c>
    </row>
    <row r="10" spans="1:9" ht="45" customHeight="1" x14ac:dyDescent="0.25">
      <c r="A10" s="392"/>
      <c r="B10" s="759"/>
      <c r="C10" s="745"/>
      <c r="D10" s="760"/>
      <c r="E10" s="758"/>
      <c r="F10" s="758"/>
      <c r="G10" s="759"/>
      <c r="H10" s="39" t="s">
        <v>38</v>
      </c>
      <c r="I10" s="42">
        <v>725</v>
      </c>
    </row>
    <row r="11" spans="1:9" ht="45" customHeight="1" x14ac:dyDescent="0.25">
      <c r="A11" s="392">
        <v>6</v>
      </c>
      <c r="B11" s="759">
        <v>44389</v>
      </c>
      <c r="C11" s="745">
        <v>2021070902001</v>
      </c>
      <c r="D11" s="760" t="s">
        <v>44</v>
      </c>
      <c r="E11" s="758" t="s">
        <v>50</v>
      </c>
      <c r="F11" s="758" t="s">
        <v>60</v>
      </c>
      <c r="G11" s="759">
        <v>44395</v>
      </c>
      <c r="H11" s="39" t="s">
        <v>37</v>
      </c>
      <c r="I11" s="41">
        <v>8376</v>
      </c>
    </row>
    <row r="12" spans="1:9" s="7" customFormat="1" ht="45" customHeight="1" x14ac:dyDescent="0.25">
      <c r="A12" s="392"/>
      <c r="B12" s="759"/>
      <c r="C12" s="745"/>
      <c r="D12" s="760"/>
      <c r="E12" s="758"/>
      <c r="F12" s="758"/>
      <c r="G12" s="759"/>
      <c r="H12" s="39" t="s">
        <v>38</v>
      </c>
      <c r="I12" s="42">
        <v>725</v>
      </c>
    </row>
    <row r="13" spans="1:9" s="7" customFormat="1" ht="45" customHeight="1" x14ac:dyDescent="0.25">
      <c r="A13" s="392">
        <v>7</v>
      </c>
      <c r="B13" s="759">
        <v>44390</v>
      </c>
      <c r="C13" s="745">
        <v>2021070902002</v>
      </c>
      <c r="D13" s="760" t="s">
        <v>44</v>
      </c>
      <c r="E13" s="758" t="s">
        <v>51</v>
      </c>
      <c r="F13" s="758" t="s">
        <v>61</v>
      </c>
      <c r="G13" s="759">
        <v>44391</v>
      </c>
      <c r="H13" s="39" t="s">
        <v>37</v>
      </c>
      <c r="I13" s="41">
        <v>8376</v>
      </c>
    </row>
    <row r="14" spans="1:9" s="7" customFormat="1" ht="45" customHeight="1" x14ac:dyDescent="0.25">
      <c r="A14" s="392"/>
      <c r="B14" s="759"/>
      <c r="C14" s="745"/>
      <c r="D14" s="760"/>
      <c r="E14" s="758"/>
      <c r="F14" s="758"/>
      <c r="G14" s="759"/>
      <c r="H14" s="39" t="s">
        <v>38</v>
      </c>
      <c r="I14" s="42">
        <v>725</v>
      </c>
    </row>
    <row r="15" spans="1:9" ht="90" customHeight="1" x14ac:dyDescent="0.25">
      <c r="A15" s="19">
        <v>8</v>
      </c>
      <c r="B15" s="48">
        <v>44392</v>
      </c>
      <c r="C15" s="46">
        <v>2021071502002</v>
      </c>
      <c r="D15" s="32" t="s">
        <v>44</v>
      </c>
      <c r="E15" s="50" t="s">
        <v>51</v>
      </c>
      <c r="F15" s="50" t="s">
        <v>62</v>
      </c>
      <c r="G15" s="48">
        <v>44395</v>
      </c>
      <c r="H15" s="39" t="s">
        <v>40</v>
      </c>
      <c r="I15" s="42">
        <v>275</v>
      </c>
    </row>
    <row r="16" spans="1:9" ht="45" customHeight="1" x14ac:dyDescent="0.25">
      <c r="A16" s="405">
        <v>9</v>
      </c>
      <c r="B16" s="750">
        <v>44392</v>
      </c>
      <c r="C16" s="752">
        <v>2021071502003</v>
      </c>
      <c r="D16" s="754" t="s">
        <v>44</v>
      </c>
      <c r="E16" s="756" t="s">
        <v>52</v>
      </c>
      <c r="F16" s="756" t="s">
        <v>63</v>
      </c>
      <c r="G16" s="750">
        <v>44402</v>
      </c>
      <c r="H16" s="39" t="s">
        <v>69</v>
      </c>
      <c r="I16" s="42">
        <v>3420</v>
      </c>
    </row>
    <row r="17" spans="1:9" ht="45" customHeight="1" x14ac:dyDescent="0.25">
      <c r="A17" s="411"/>
      <c r="B17" s="751"/>
      <c r="C17" s="753"/>
      <c r="D17" s="755"/>
      <c r="E17" s="757"/>
      <c r="F17" s="757"/>
      <c r="G17" s="751"/>
      <c r="H17" s="39" t="s">
        <v>20</v>
      </c>
      <c r="I17" s="42">
        <v>460</v>
      </c>
    </row>
    <row r="18" spans="1:9" ht="45" customHeight="1" x14ac:dyDescent="0.25">
      <c r="A18" s="405">
        <v>10</v>
      </c>
      <c r="B18" s="750">
        <v>44392</v>
      </c>
      <c r="C18" s="752">
        <v>2021071502004</v>
      </c>
      <c r="D18" s="754" t="s">
        <v>44</v>
      </c>
      <c r="E18" s="756" t="s">
        <v>53</v>
      </c>
      <c r="F18" s="756" t="s">
        <v>64</v>
      </c>
      <c r="G18" s="750">
        <v>44402</v>
      </c>
      <c r="H18" s="39" t="s">
        <v>70</v>
      </c>
      <c r="I18" s="42">
        <v>1140</v>
      </c>
    </row>
    <row r="19" spans="1:9" ht="45" customHeight="1" x14ac:dyDescent="0.25">
      <c r="A19" s="411"/>
      <c r="B19" s="751"/>
      <c r="C19" s="753"/>
      <c r="D19" s="755"/>
      <c r="E19" s="757"/>
      <c r="F19" s="757"/>
      <c r="G19" s="751"/>
      <c r="H19" s="39" t="s">
        <v>71</v>
      </c>
      <c r="I19" s="42">
        <v>4490</v>
      </c>
    </row>
    <row r="20" spans="1:9" ht="90" customHeight="1" thickBot="1" x14ac:dyDescent="0.3">
      <c r="A20" s="28">
        <v>11</v>
      </c>
      <c r="B20" s="49">
        <v>44398</v>
      </c>
      <c r="C20" s="47">
        <v>2021072005001</v>
      </c>
      <c r="D20" s="33" t="s">
        <v>44</v>
      </c>
      <c r="E20" s="51" t="s">
        <v>54</v>
      </c>
      <c r="F20" s="51" t="s">
        <v>65</v>
      </c>
      <c r="G20" s="49">
        <v>44404</v>
      </c>
      <c r="H20" s="44" t="s">
        <v>17</v>
      </c>
      <c r="I20" s="52">
        <v>1031</v>
      </c>
    </row>
    <row r="21" spans="1:9" ht="15.6" x14ac:dyDescent="0.3">
      <c r="A21" s="4"/>
      <c r="B21" s="4"/>
      <c r="C21" s="4"/>
      <c r="D21" s="4"/>
      <c r="E21" s="4"/>
      <c r="F21" s="5"/>
      <c r="G21" s="5"/>
    </row>
    <row r="22" spans="1:9" ht="15.6" x14ac:dyDescent="0.3">
      <c r="A22" s="4"/>
      <c r="B22" s="4"/>
      <c r="C22" s="4"/>
      <c r="D22" s="4"/>
      <c r="E22" s="4"/>
      <c r="F22" s="5"/>
      <c r="G22" s="5"/>
    </row>
    <row r="24" spans="1:9" s="7" customFormat="1" ht="13.2" x14ac:dyDescent="0.25">
      <c r="C24" s="9"/>
      <c r="H24"/>
      <c r="I24" s="13"/>
    </row>
    <row r="25" spans="1:9" ht="13.2" x14ac:dyDescent="0.25">
      <c r="H25" s="7"/>
    </row>
    <row r="26" spans="1:9" ht="13.2" x14ac:dyDescent="0.25"/>
    <row r="27" spans="1:9" ht="13.2" x14ac:dyDescent="0.25"/>
    <row r="28" spans="1:9" ht="15.6" x14ac:dyDescent="0.3">
      <c r="A28" s="2"/>
      <c r="B28" s="6"/>
      <c r="C28" s="2"/>
      <c r="D28" s="2"/>
      <c r="E28" s="2"/>
      <c r="F28" s="3"/>
      <c r="G28" s="3"/>
    </row>
    <row r="29" spans="1:9" ht="15.6" x14ac:dyDescent="0.3">
      <c r="A29" s="2"/>
      <c r="B29" s="6"/>
      <c r="C29" s="2"/>
      <c r="D29" s="2"/>
      <c r="E29" s="2"/>
      <c r="F29" s="3"/>
      <c r="G29" s="3"/>
    </row>
    <row r="30" spans="1:9" ht="15.6" x14ac:dyDescent="0.3">
      <c r="A30" s="2"/>
      <c r="B30" s="6"/>
      <c r="C30" s="2"/>
      <c r="D30" s="2"/>
      <c r="E30" s="2"/>
      <c r="F30" s="3"/>
      <c r="G30" s="3"/>
    </row>
    <row r="31" spans="1:9" ht="15.6" x14ac:dyDescent="0.3">
      <c r="A31" s="2"/>
      <c r="B31" s="6"/>
      <c r="C31" s="2"/>
      <c r="D31" s="2"/>
      <c r="E31" s="2"/>
      <c r="F31" s="3"/>
      <c r="G31" s="3"/>
    </row>
    <row r="32" spans="1:9" ht="15.6" x14ac:dyDescent="0.3">
      <c r="A32" s="2"/>
      <c r="B32" s="6"/>
      <c r="C32" s="2"/>
      <c r="D32" s="2"/>
      <c r="E32" s="2"/>
      <c r="F32" s="3"/>
      <c r="G32" s="3"/>
    </row>
    <row r="33" spans="1:7" ht="15.6" x14ac:dyDescent="0.3">
      <c r="A33" s="2"/>
      <c r="B33" s="6"/>
      <c r="C33" s="2"/>
      <c r="D33" s="2"/>
      <c r="E33" s="2"/>
      <c r="F33" s="3"/>
      <c r="G33" s="3"/>
    </row>
    <row r="34" spans="1:7" ht="15.6" x14ac:dyDescent="0.3">
      <c r="A34" s="2"/>
      <c r="B34" s="6"/>
      <c r="C34" s="2"/>
      <c r="D34" s="2"/>
      <c r="E34" s="2"/>
      <c r="F34" s="3"/>
      <c r="G34" s="3"/>
    </row>
    <row r="35" spans="1:7" ht="15.6" x14ac:dyDescent="0.3">
      <c r="A35" s="2"/>
      <c r="B35" s="6"/>
      <c r="C35" s="2"/>
      <c r="D35" s="2"/>
      <c r="E35" s="2"/>
      <c r="F35" s="3"/>
      <c r="G35" s="3"/>
    </row>
    <row r="36" spans="1:7" ht="15" x14ac:dyDescent="0.25">
      <c r="A36" s="2"/>
      <c r="B36" s="2"/>
      <c r="C36" s="2"/>
      <c r="D36" s="2"/>
      <c r="E36" s="2"/>
      <c r="F36" s="3"/>
      <c r="G36" s="3"/>
    </row>
    <row r="37" spans="1:7" ht="15" x14ac:dyDescent="0.25">
      <c r="A37" s="2"/>
      <c r="B37" s="2"/>
      <c r="C37" s="2"/>
      <c r="D37" s="2"/>
      <c r="E37" s="2"/>
      <c r="F37" s="3"/>
      <c r="G37" s="3"/>
    </row>
    <row r="38" spans="1:7" ht="15" x14ac:dyDescent="0.25">
      <c r="A38" s="2"/>
      <c r="B38" s="2"/>
      <c r="C38" s="2"/>
      <c r="D38" s="2"/>
      <c r="E38" s="2"/>
      <c r="F38" s="3"/>
      <c r="G38" s="3"/>
    </row>
    <row r="39" spans="1:7" ht="15" x14ac:dyDescent="0.25">
      <c r="A39" s="2"/>
      <c r="B39" s="2"/>
      <c r="C39" s="2"/>
      <c r="D39" s="2"/>
      <c r="E39" s="2"/>
      <c r="F39" s="3"/>
      <c r="G39" s="3"/>
    </row>
    <row r="40" spans="1:7" ht="15" x14ac:dyDescent="0.25">
      <c r="A40" s="2"/>
      <c r="B40" s="2"/>
      <c r="C40" s="2"/>
      <c r="D40" s="2"/>
      <c r="E40" s="2"/>
      <c r="F40" s="3"/>
      <c r="G40" s="3"/>
    </row>
    <row r="41" spans="1:7" ht="15" x14ac:dyDescent="0.25">
      <c r="A41" s="2"/>
      <c r="B41" s="2"/>
      <c r="C41" s="2"/>
      <c r="D41" s="2"/>
      <c r="E41" s="2"/>
      <c r="F41" s="3"/>
      <c r="G41" s="3"/>
    </row>
    <row r="42" spans="1:7" ht="15" x14ac:dyDescent="0.25">
      <c r="A42" s="2"/>
      <c r="B42" s="2"/>
      <c r="C42" s="2"/>
      <c r="D42" s="2"/>
      <c r="E42" s="2"/>
      <c r="F42" s="3"/>
      <c r="G42" s="3"/>
    </row>
    <row r="43" spans="1:7" ht="15" x14ac:dyDescent="0.25">
      <c r="A43" s="2"/>
      <c r="B43" s="2"/>
      <c r="C43" s="2"/>
      <c r="D43" s="2"/>
      <c r="E43" s="2"/>
      <c r="F43" s="3"/>
      <c r="G43" s="3"/>
    </row>
    <row r="44" spans="1:7" ht="15" x14ac:dyDescent="0.25">
      <c r="A44" s="2"/>
      <c r="B44" s="2"/>
      <c r="C44" s="2"/>
      <c r="D44" s="2"/>
      <c r="E44" s="2"/>
      <c r="F44" s="3"/>
      <c r="G44" s="3"/>
    </row>
    <row r="45" spans="1:7" ht="15" x14ac:dyDescent="0.25">
      <c r="A45" s="2"/>
      <c r="B45" s="2"/>
      <c r="C45" s="2"/>
      <c r="D45" s="2"/>
      <c r="E45" s="2"/>
      <c r="F45" s="3"/>
      <c r="G45" s="3"/>
    </row>
    <row r="46" spans="1:7" ht="15" x14ac:dyDescent="0.25">
      <c r="A46" s="2"/>
      <c r="B46" s="2"/>
      <c r="C46" s="2"/>
      <c r="D46" s="2"/>
      <c r="E46" s="2"/>
      <c r="F46" s="3"/>
      <c r="G46" s="3"/>
    </row>
    <row r="47" spans="1:7" ht="15" x14ac:dyDescent="0.25">
      <c r="A47" s="2"/>
      <c r="B47" s="2"/>
      <c r="C47" s="2"/>
      <c r="D47" s="2"/>
      <c r="E47" s="2"/>
      <c r="F47" s="3"/>
      <c r="G47" s="3"/>
    </row>
    <row r="48" spans="1:7" ht="15" x14ac:dyDescent="0.25">
      <c r="A48" s="2"/>
      <c r="B48" s="2"/>
      <c r="C48" s="2"/>
      <c r="D48" s="2"/>
      <c r="E48" s="2"/>
      <c r="F48" s="3"/>
      <c r="G48" s="3"/>
    </row>
    <row r="49" spans="1:7" ht="15" x14ac:dyDescent="0.25">
      <c r="A49" s="2"/>
      <c r="B49" s="2"/>
      <c r="C49" s="2"/>
      <c r="D49" s="2"/>
      <c r="E49" s="2"/>
      <c r="F49" s="3"/>
      <c r="G49" s="3"/>
    </row>
    <row r="50" spans="1:7" ht="15" x14ac:dyDescent="0.25">
      <c r="A50" s="2"/>
      <c r="B50" s="2"/>
      <c r="C50" s="2"/>
      <c r="D50" s="2"/>
      <c r="E50" s="2"/>
      <c r="F50" s="3"/>
      <c r="G50" s="3"/>
    </row>
    <row r="51" spans="1:7" ht="15" x14ac:dyDescent="0.25">
      <c r="A51" s="2"/>
      <c r="B51" s="2"/>
      <c r="C51" s="2"/>
      <c r="D51" s="2"/>
      <c r="E51" s="2"/>
      <c r="F51" s="3"/>
      <c r="G51" s="3"/>
    </row>
    <row r="52" spans="1:7" ht="15" x14ac:dyDescent="0.25">
      <c r="A52" s="2"/>
      <c r="B52" s="2"/>
      <c r="C52" s="2"/>
      <c r="D52" s="2"/>
      <c r="E52" s="2"/>
      <c r="F52" s="3"/>
      <c r="G52" s="3"/>
    </row>
    <row r="53" spans="1:7" ht="15" x14ac:dyDescent="0.25">
      <c r="A53" s="2"/>
      <c r="B53" s="2"/>
      <c r="C53" s="2"/>
      <c r="D53" s="2"/>
      <c r="E53" s="2"/>
      <c r="F53" s="3"/>
      <c r="G53" s="3"/>
    </row>
    <row r="54" spans="1:7" ht="15" x14ac:dyDescent="0.25">
      <c r="A54" s="2"/>
      <c r="B54" s="2"/>
      <c r="C54" s="2"/>
      <c r="D54" s="2"/>
      <c r="E54" s="2"/>
      <c r="F54" s="3"/>
      <c r="G54" s="3"/>
    </row>
    <row r="55" spans="1:7" ht="15" x14ac:dyDescent="0.25">
      <c r="A55" s="2"/>
      <c r="B55" s="2"/>
      <c r="C55" s="2"/>
      <c r="D55" s="2"/>
      <c r="E55" s="2"/>
      <c r="F55" s="3"/>
      <c r="G55" s="3"/>
    </row>
    <row r="56" spans="1:7" ht="15" x14ac:dyDescent="0.25">
      <c r="A56" s="2"/>
      <c r="B56" s="2"/>
      <c r="C56" s="2"/>
      <c r="D56" s="2"/>
      <c r="E56" s="2"/>
      <c r="F56" s="3"/>
      <c r="G56" s="3"/>
    </row>
    <row r="57" spans="1:7" ht="15" x14ac:dyDescent="0.25">
      <c r="A57" s="2"/>
      <c r="B57" s="2"/>
      <c r="C57" s="2"/>
      <c r="D57" s="2"/>
      <c r="E57" s="2"/>
      <c r="F57" s="3"/>
      <c r="G57" s="3"/>
    </row>
    <row r="58" spans="1:7" ht="15" x14ac:dyDescent="0.25">
      <c r="A58" s="2"/>
      <c r="B58" s="2"/>
      <c r="C58" s="2"/>
      <c r="D58" s="2"/>
      <c r="E58" s="2"/>
      <c r="F58" s="3"/>
      <c r="G58" s="3"/>
    </row>
    <row r="59" spans="1:7" ht="15" x14ac:dyDescent="0.25">
      <c r="A59" s="2"/>
      <c r="B59" s="2"/>
      <c r="C59" s="2"/>
      <c r="D59" s="2"/>
      <c r="E59" s="2"/>
      <c r="F59" s="3"/>
      <c r="G59" s="3"/>
    </row>
    <row r="60" spans="1:7" ht="15" x14ac:dyDescent="0.25">
      <c r="A60" s="2"/>
      <c r="B60" s="2"/>
      <c r="C60" s="2"/>
      <c r="D60" s="2"/>
      <c r="E60" s="2"/>
      <c r="F60" s="3"/>
      <c r="G60" s="3"/>
    </row>
    <row r="61" spans="1:7" ht="15" x14ac:dyDescent="0.25">
      <c r="A61" s="2"/>
      <c r="B61" s="2"/>
      <c r="C61" s="2"/>
      <c r="D61" s="2"/>
      <c r="E61" s="2"/>
      <c r="F61" s="3"/>
      <c r="G61" s="3"/>
    </row>
    <row r="62" spans="1:7" ht="15" x14ac:dyDescent="0.25">
      <c r="A62" s="2"/>
      <c r="B62" s="2"/>
      <c r="C62" s="2"/>
      <c r="D62" s="2"/>
      <c r="E62" s="2"/>
      <c r="F62" s="3"/>
      <c r="G62" s="3"/>
    </row>
    <row r="63" spans="1:7" ht="15" x14ac:dyDescent="0.25">
      <c r="A63" s="2"/>
      <c r="B63" s="2"/>
      <c r="C63" s="2"/>
      <c r="D63" s="2"/>
      <c r="E63" s="2"/>
      <c r="F63" s="3"/>
      <c r="G63" s="3"/>
    </row>
    <row r="64" spans="1:7" ht="15" x14ac:dyDescent="0.25">
      <c r="A64" s="2"/>
      <c r="B64" s="2"/>
      <c r="C64" s="2"/>
      <c r="D64" s="2"/>
      <c r="E64" s="2"/>
      <c r="F64" s="3"/>
      <c r="G64" s="3"/>
    </row>
    <row r="65" spans="1:7" ht="15" x14ac:dyDescent="0.25">
      <c r="A65" s="2"/>
      <c r="B65" s="2"/>
      <c r="C65" s="2"/>
      <c r="D65" s="2"/>
      <c r="E65" s="2"/>
      <c r="F65" s="3"/>
      <c r="G65" s="3"/>
    </row>
    <row r="66" spans="1:7" ht="15" x14ac:dyDescent="0.25">
      <c r="A66" s="2"/>
      <c r="B66" s="2"/>
      <c r="C66" s="2"/>
      <c r="D66" s="2"/>
      <c r="E66" s="2"/>
      <c r="F66" s="3"/>
      <c r="G66" s="3"/>
    </row>
    <row r="67" spans="1:7" ht="15" x14ac:dyDescent="0.25">
      <c r="A67" s="2"/>
      <c r="B67" s="2"/>
      <c r="C67" s="2"/>
      <c r="D67" s="2"/>
      <c r="E67" s="2"/>
      <c r="F67" s="3"/>
      <c r="G67" s="3"/>
    </row>
    <row r="68" spans="1:7" ht="15" x14ac:dyDescent="0.25">
      <c r="A68" s="2"/>
      <c r="B68" s="2"/>
      <c r="C68" s="2"/>
      <c r="D68" s="2"/>
      <c r="E68" s="2"/>
      <c r="F68" s="3"/>
      <c r="G68" s="3"/>
    </row>
    <row r="69" spans="1:7" ht="15" x14ac:dyDescent="0.25">
      <c r="A69" s="2"/>
      <c r="B69" s="2"/>
      <c r="C69" s="2"/>
      <c r="D69" s="2"/>
      <c r="E69" s="2"/>
      <c r="F69" s="3"/>
      <c r="G69" s="3"/>
    </row>
    <row r="70" spans="1:7" ht="15" x14ac:dyDescent="0.25">
      <c r="A70" s="2"/>
      <c r="B70" s="2"/>
      <c r="C70" s="2"/>
      <c r="D70" s="2"/>
      <c r="E70" s="2"/>
      <c r="F70" s="3"/>
      <c r="G70" s="3"/>
    </row>
    <row r="71" spans="1:7" ht="15" x14ac:dyDescent="0.25">
      <c r="A71" s="2"/>
      <c r="B71" s="2"/>
      <c r="C71" s="2"/>
      <c r="D71" s="2"/>
      <c r="E71" s="2"/>
      <c r="F71" s="3"/>
      <c r="G71" s="3"/>
    </row>
    <row r="72" spans="1:7" ht="15" x14ac:dyDescent="0.25">
      <c r="A72" s="2"/>
      <c r="B72" s="2"/>
      <c r="C72" s="2"/>
      <c r="D72" s="2"/>
      <c r="E72" s="2"/>
      <c r="F72" s="3"/>
      <c r="G72" s="3"/>
    </row>
    <row r="73" spans="1:7" ht="15" x14ac:dyDescent="0.25">
      <c r="A73" s="2"/>
      <c r="B73" s="2"/>
      <c r="C73" s="2"/>
      <c r="D73" s="2"/>
      <c r="E73" s="2"/>
      <c r="F73" s="3"/>
      <c r="G73" s="3"/>
    </row>
    <row r="74" spans="1:7" ht="15" x14ac:dyDescent="0.25">
      <c r="A74" s="2"/>
      <c r="B74" s="2"/>
      <c r="C74" s="2"/>
      <c r="D74" s="2"/>
      <c r="E74" s="2"/>
      <c r="F74" s="3"/>
      <c r="G74" s="3"/>
    </row>
    <row r="75" spans="1:7" ht="15" x14ac:dyDescent="0.25">
      <c r="A75" s="2"/>
      <c r="B75" s="2"/>
      <c r="C75" s="2"/>
      <c r="D75" s="2"/>
      <c r="E75" s="2"/>
      <c r="F75" s="3"/>
      <c r="G75" s="3"/>
    </row>
    <row r="76" spans="1:7" ht="15" x14ac:dyDescent="0.25">
      <c r="A76" s="2"/>
      <c r="B76" s="2"/>
      <c r="C76" s="2"/>
      <c r="D76" s="2"/>
      <c r="E76" s="2"/>
      <c r="F76" s="3"/>
      <c r="G76" s="3"/>
    </row>
    <row r="77" spans="1:7" ht="15" x14ac:dyDescent="0.25">
      <c r="A77" s="2"/>
      <c r="B77" s="2"/>
      <c r="C77" s="2"/>
      <c r="D77" s="2"/>
      <c r="E77" s="2"/>
      <c r="F77" s="3"/>
      <c r="G77" s="3"/>
    </row>
    <row r="78" spans="1:7" ht="15" x14ac:dyDescent="0.25">
      <c r="A78" s="2"/>
      <c r="B78" s="2"/>
      <c r="C78" s="2"/>
      <c r="D78" s="2"/>
      <c r="E78" s="2"/>
      <c r="F78" s="3"/>
      <c r="G78" s="3"/>
    </row>
    <row r="79" spans="1:7" ht="15" x14ac:dyDescent="0.25">
      <c r="A79" s="2"/>
      <c r="B79" s="2"/>
      <c r="C79" s="2"/>
      <c r="D79" s="2"/>
      <c r="E79" s="2"/>
      <c r="F79" s="3"/>
      <c r="G79" s="3"/>
    </row>
    <row r="80" spans="1:7" ht="15" x14ac:dyDescent="0.25">
      <c r="A80" s="2"/>
      <c r="B80" s="2"/>
      <c r="C80" s="2"/>
      <c r="D80" s="2"/>
      <c r="E80" s="2"/>
      <c r="F80" s="3"/>
      <c r="G80" s="3"/>
    </row>
    <row r="81" spans="1:7" ht="15" x14ac:dyDescent="0.25">
      <c r="A81" s="2"/>
      <c r="B81" s="2"/>
      <c r="C81" s="2"/>
      <c r="D81" s="2"/>
      <c r="E81" s="2"/>
      <c r="F81" s="3"/>
      <c r="G81" s="3"/>
    </row>
    <row r="82" spans="1:7" ht="15" x14ac:dyDescent="0.25">
      <c r="A82" s="2"/>
      <c r="B82" s="2"/>
      <c r="C82" s="2"/>
      <c r="D82" s="2"/>
      <c r="E82" s="2"/>
      <c r="F82" s="3"/>
      <c r="G82" s="3"/>
    </row>
    <row r="83" spans="1:7" ht="15" x14ac:dyDescent="0.25">
      <c r="A83" s="2"/>
      <c r="B83" s="2"/>
      <c r="C83" s="2"/>
      <c r="D83" s="2"/>
      <c r="E83" s="2"/>
      <c r="F83" s="3"/>
      <c r="G83" s="3"/>
    </row>
    <row r="84" spans="1:7" ht="15" x14ac:dyDescent="0.25">
      <c r="A84" s="2"/>
      <c r="B84" s="2"/>
      <c r="C84" s="2"/>
      <c r="D84" s="2"/>
      <c r="E84" s="2"/>
      <c r="F84" s="3"/>
      <c r="G84" s="3"/>
    </row>
    <row r="85" spans="1:7" ht="15" x14ac:dyDescent="0.25">
      <c r="A85" s="2"/>
      <c r="B85" s="2"/>
      <c r="C85" s="2"/>
      <c r="D85" s="2"/>
      <c r="E85" s="2"/>
      <c r="F85" s="3"/>
      <c r="G85" s="3"/>
    </row>
    <row r="86" spans="1:7" ht="15" x14ac:dyDescent="0.25">
      <c r="A86" s="2"/>
      <c r="B86" s="2"/>
      <c r="C86" s="2"/>
      <c r="D86" s="2"/>
      <c r="E86" s="2"/>
      <c r="F86" s="3"/>
      <c r="G86" s="3"/>
    </row>
    <row r="87" spans="1:7" ht="15" x14ac:dyDescent="0.25">
      <c r="A87" s="2"/>
      <c r="B87" s="2"/>
      <c r="C87" s="2"/>
      <c r="D87" s="2"/>
      <c r="E87" s="2"/>
      <c r="F87" s="3"/>
      <c r="G87" s="3"/>
    </row>
    <row r="88" spans="1:7" ht="15" x14ac:dyDescent="0.25">
      <c r="A88" s="2"/>
      <c r="B88" s="2"/>
      <c r="C88" s="2"/>
      <c r="D88" s="2"/>
      <c r="E88" s="2"/>
      <c r="F88" s="3"/>
      <c r="G88" s="3"/>
    </row>
    <row r="89" spans="1:7" ht="15" x14ac:dyDescent="0.25">
      <c r="A89" s="2"/>
      <c r="B89" s="2"/>
      <c r="C89" s="2"/>
      <c r="D89" s="2"/>
      <c r="E89" s="2"/>
      <c r="F89" s="3"/>
      <c r="G89" s="3"/>
    </row>
    <row r="90" spans="1:7" ht="15" x14ac:dyDescent="0.25">
      <c r="A90" s="2"/>
      <c r="B90" s="2"/>
      <c r="C90" s="2"/>
      <c r="D90" s="2"/>
      <c r="E90" s="2"/>
      <c r="F90" s="3"/>
      <c r="G90" s="3"/>
    </row>
    <row r="91" spans="1:7" ht="15" x14ac:dyDescent="0.25">
      <c r="A91" s="2"/>
      <c r="B91" s="2"/>
      <c r="C91" s="2"/>
      <c r="D91" s="2"/>
      <c r="E91" s="2"/>
      <c r="F91" s="3"/>
      <c r="G91" s="3"/>
    </row>
    <row r="92" spans="1:7" ht="15" x14ac:dyDescent="0.25">
      <c r="A92" s="2"/>
      <c r="B92" s="2"/>
      <c r="C92" s="2"/>
      <c r="D92" s="2"/>
      <c r="E92" s="2"/>
      <c r="F92" s="3"/>
      <c r="G92" s="3"/>
    </row>
    <row r="93" spans="1:7" ht="15" x14ac:dyDescent="0.25">
      <c r="A93" s="2"/>
      <c r="B93" s="2"/>
      <c r="C93" s="2"/>
      <c r="D93" s="2"/>
      <c r="E93" s="2"/>
      <c r="F93" s="3"/>
      <c r="G93" s="3"/>
    </row>
    <row r="94" spans="1:7" ht="15" x14ac:dyDescent="0.25">
      <c r="A94" s="2"/>
      <c r="B94" s="2"/>
      <c r="C94" s="2"/>
      <c r="D94" s="2"/>
      <c r="E94" s="2"/>
      <c r="F94" s="3"/>
      <c r="G94" s="3"/>
    </row>
    <row r="95" spans="1:7" ht="15" x14ac:dyDescent="0.25">
      <c r="A95" s="2"/>
      <c r="B95" s="2"/>
      <c r="C95" s="2"/>
      <c r="D95" s="2"/>
      <c r="E95" s="2"/>
      <c r="F95" s="3"/>
      <c r="G95" s="3"/>
    </row>
    <row r="96" spans="1:7" ht="15" x14ac:dyDescent="0.25">
      <c r="A96" s="2"/>
      <c r="B96" s="2"/>
      <c r="C96" s="2"/>
      <c r="D96" s="2"/>
      <c r="E96" s="2"/>
      <c r="F96" s="3"/>
      <c r="G96" s="3"/>
    </row>
    <row r="97" spans="1:7" ht="15" x14ac:dyDescent="0.25">
      <c r="A97" s="2"/>
      <c r="B97" s="2"/>
      <c r="C97" s="2"/>
      <c r="D97" s="2"/>
      <c r="E97" s="2"/>
      <c r="F97" s="3"/>
      <c r="G97" s="3"/>
    </row>
  </sheetData>
  <mergeCells count="45">
    <mergeCell ref="A1:I1"/>
    <mergeCell ref="A2:E2"/>
    <mergeCell ref="F2:I2"/>
    <mergeCell ref="G7:G8"/>
    <mergeCell ref="A9:A10"/>
    <mergeCell ref="B9:B10"/>
    <mergeCell ref="C9:C10"/>
    <mergeCell ref="D9:D10"/>
    <mergeCell ref="E9:E10"/>
    <mergeCell ref="F9:F10"/>
    <mergeCell ref="G9:G10"/>
    <mergeCell ref="A7:A8"/>
    <mergeCell ref="B7:B8"/>
    <mergeCell ref="C7:C8"/>
    <mergeCell ref="D7:D8"/>
    <mergeCell ref="E7:E8"/>
    <mergeCell ref="F7:F8"/>
    <mergeCell ref="G11:G12"/>
    <mergeCell ref="A13:A14"/>
    <mergeCell ref="B13:B14"/>
    <mergeCell ref="C13:C14"/>
    <mergeCell ref="D13:D14"/>
    <mergeCell ref="E13:E14"/>
    <mergeCell ref="F13:F14"/>
    <mergeCell ref="G13:G14"/>
    <mergeCell ref="A11:A12"/>
    <mergeCell ref="B11:B12"/>
    <mergeCell ref="C11:C12"/>
    <mergeCell ref="D11:D12"/>
    <mergeCell ref="E11:E12"/>
    <mergeCell ref="F11:F12"/>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s>
  <phoneticPr fontId="4" type="noConversion"/>
  <printOptions horizontalCentered="1"/>
  <pageMargins left="0.23622047244094491" right="0.23622047244094491" top="0.74803149606299213" bottom="0.74803149606299213" header="0.31496062992125984" footer="0.31496062992125984"/>
  <pageSetup paperSize="9" scale="47"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pageSetUpPr fitToPage="1"/>
  </sheetPr>
  <dimension ref="A1:I92"/>
  <sheetViews>
    <sheetView zoomScale="90" zoomScaleNormal="90" workbookViewId="0">
      <pane ySplit="3" topLeftCell="A4" activePane="bottomLeft" state="frozen"/>
      <selection pane="bottomLeft" activeCell="H9" sqref="H9:I9"/>
    </sheetView>
  </sheetViews>
  <sheetFormatPr defaultColWidth="14.44140625" defaultRowHeight="15.75" customHeight="1" x14ac:dyDescent="0.25"/>
  <cols>
    <col min="1" max="1" width="8.33203125" bestFit="1" customWidth="1"/>
    <col min="2" max="2" width="17.33203125" bestFit="1" customWidth="1"/>
    <col min="3" max="3" width="27.109375" style="1" bestFit="1" customWidth="1"/>
    <col min="4" max="4" width="38.44140625" bestFit="1" customWidth="1"/>
    <col min="5" max="5" width="51.109375" bestFit="1" customWidth="1"/>
    <col min="6" max="6" width="82" bestFit="1" customWidth="1"/>
    <col min="7" max="7" width="17.33203125" bestFit="1" customWidth="1"/>
    <col min="8" max="8" width="24.109375" bestFit="1" customWidth="1"/>
    <col min="9" max="9" width="19" style="12" bestFit="1" customWidth="1"/>
  </cols>
  <sheetData>
    <row r="1" spans="1:9" ht="39.75" customHeight="1" x14ac:dyDescent="0.55000000000000004">
      <c r="A1" s="761" t="s">
        <v>11</v>
      </c>
      <c r="B1" s="762"/>
      <c r="C1" s="762"/>
      <c r="D1" s="762"/>
      <c r="E1" s="762"/>
      <c r="F1" s="762"/>
      <c r="G1" s="762"/>
      <c r="H1" s="762"/>
      <c r="I1" s="763"/>
    </row>
    <row r="2" spans="1:9" s="8" customFormat="1" ht="30.6" x14ac:dyDescent="0.55000000000000004">
      <c r="A2" s="746" t="s">
        <v>12</v>
      </c>
      <c r="B2" s="747"/>
      <c r="C2" s="747"/>
      <c r="D2" s="747"/>
      <c r="E2" s="747"/>
      <c r="F2" s="748" t="s">
        <v>24</v>
      </c>
      <c r="G2" s="748"/>
      <c r="H2" s="748"/>
      <c r="I2" s="749"/>
    </row>
    <row r="3" spans="1:9" s="10" customFormat="1" ht="39.9" customHeight="1" x14ac:dyDescent="0.25">
      <c r="A3" s="17" t="s">
        <v>23</v>
      </c>
      <c r="B3" s="15" t="s">
        <v>14</v>
      </c>
      <c r="C3" s="16" t="s">
        <v>22</v>
      </c>
      <c r="D3" s="14" t="s">
        <v>0</v>
      </c>
      <c r="E3" s="14" t="s">
        <v>2</v>
      </c>
      <c r="F3" s="14" t="s">
        <v>19</v>
      </c>
      <c r="G3" s="15" t="s">
        <v>1</v>
      </c>
      <c r="H3" s="15" t="s">
        <v>15</v>
      </c>
      <c r="I3" s="18" t="s">
        <v>16</v>
      </c>
    </row>
    <row r="4" spans="1:9" s="10" customFormat="1" ht="39.9" customHeight="1" x14ac:dyDescent="0.25">
      <c r="A4" s="392">
        <v>1</v>
      </c>
      <c r="B4" s="765">
        <v>44335</v>
      </c>
      <c r="C4" s="766">
        <v>2021051902001</v>
      </c>
      <c r="D4" s="760" t="s">
        <v>25</v>
      </c>
      <c r="E4" s="767" t="s">
        <v>27</v>
      </c>
      <c r="F4" s="768" t="s">
        <v>32</v>
      </c>
      <c r="G4" s="764">
        <v>44351</v>
      </c>
      <c r="H4" s="39" t="s">
        <v>37</v>
      </c>
      <c r="I4" s="41">
        <v>8376</v>
      </c>
    </row>
    <row r="5" spans="1:9" s="11" customFormat="1" ht="39.9" customHeight="1" x14ac:dyDescent="0.25">
      <c r="A5" s="392"/>
      <c r="B5" s="765"/>
      <c r="C5" s="766"/>
      <c r="D5" s="760"/>
      <c r="E5" s="767"/>
      <c r="F5" s="768"/>
      <c r="G5" s="764"/>
      <c r="H5" s="39" t="s">
        <v>38</v>
      </c>
      <c r="I5" s="42">
        <v>725</v>
      </c>
    </row>
    <row r="6" spans="1:9" s="11" customFormat="1" ht="80.099999999999994" customHeight="1" x14ac:dyDescent="0.25">
      <c r="A6" s="19">
        <v>2</v>
      </c>
      <c r="B6" s="30">
        <v>44342</v>
      </c>
      <c r="C6" s="29">
        <v>2021052502001</v>
      </c>
      <c r="D6" s="32" t="s">
        <v>26</v>
      </c>
      <c r="E6" s="34" t="s">
        <v>28</v>
      </c>
      <c r="F6" s="37" t="s">
        <v>33</v>
      </c>
      <c r="G6" s="30">
        <v>44377</v>
      </c>
      <c r="H6" s="39" t="s">
        <v>39</v>
      </c>
      <c r="I6" s="41">
        <v>1169</v>
      </c>
    </row>
    <row r="7" spans="1:9" s="11" customFormat="1" ht="80.099999999999994" customHeight="1" x14ac:dyDescent="0.25">
      <c r="A7" s="19">
        <v>3</v>
      </c>
      <c r="B7" s="30">
        <v>44365</v>
      </c>
      <c r="C7" s="29">
        <v>2021061802002</v>
      </c>
      <c r="D7" s="32" t="s">
        <v>26</v>
      </c>
      <c r="E7" s="35" t="s">
        <v>29</v>
      </c>
      <c r="F7" s="37" t="s">
        <v>34</v>
      </c>
      <c r="G7" s="30">
        <v>44375</v>
      </c>
      <c r="H7" s="39" t="s">
        <v>40</v>
      </c>
      <c r="I7" s="41">
        <v>275</v>
      </c>
    </row>
    <row r="8" spans="1:9" ht="80.099999999999994" customHeight="1" x14ac:dyDescent="0.25">
      <c r="A8" s="19">
        <v>4</v>
      </c>
      <c r="B8" s="30">
        <v>44370</v>
      </c>
      <c r="C8" s="29">
        <v>2021062302001</v>
      </c>
      <c r="D8" s="32" t="s">
        <v>25</v>
      </c>
      <c r="E8" s="35" t="s">
        <v>30</v>
      </c>
      <c r="F8" s="37" t="s">
        <v>35</v>
      </c>
      <c r="G8" s="30">
        <v>44377</v>
      </c>
      <c r="H8" s="39" t="s">
        <v>41</v>
      </c>
      <c r="I8" s="41">
        <v>550</v>
      </c>
    </row>
    <row r="9" spans="1:9" ht="80.099999999999994" customHeight="1" thickBot="1" x14ac:dyDescent="0.3">
      <c r="A9" s="28">
        <v>5</v>
      </c>
      <c r="B9" s="31">
        <v>44370</v>
      </c>
      <c r="C9" s="43">
        <v>2021062302004</v>
      </c>
      <c r="D9" s="33" t="s">
        <v>25</v>
      </c>
      <c r="E9" s="36" t="s">
        <v>31</v>
      </c>
      <c r="F9" s="38" t="s">
        <v>36</v>
      </c>
      <c r="G9" s="31">
        <v>44375</v>
      </c>
      <c r="H9" s="44" t="s">
        <v>42</v>
      </c>
      <c r="I9" s="45">
        <v>1485</v>
      </c>
    </row>
    <row r="10" spans="1:9" s="7" customFormat="1" ht="49.95" customHeight="1" x14ac:dyDescent="0.25">
      <c r="H10"/>
      <c r="I10" s="13"/>
    </row>
    <row r="11" spans="1:9" s="7" customFormat="1" ht="49.95" customHeight="1" x14ac:dyDescent="0.25">
      <c r="I11" s="13"/>
    </row>
    <row r="12" spans="1:9" ht="49.95" customHeight="1" x14ac:dyDescent="0.25">
      <c r="C12"/>
      <c r="H12" s="7"/>
    </row>
    <row r="13" spans="1:9" ht="49.95" customHeight="1" x14ac:dyDescent="0.25">
      <c r="C13"/>
    </row>
    <row r="14" spans="1:9" ht="49.95" customHeight="1" x14ac:dyDescent="0.25">
      <c r="C14"/>
    </row>
    <row r="15" spans="1:9" ht="110.4" customHeight="1" x14ac:dyDescent="0.25">
      <c r="C15"/>
    </row>
    <row r="16" spans="1:9" ht="15.6" x14ac:dyDescent="0.3">
      <c r="A16" s="4"/>
      <c r="B16" s="4"/>
      <c r="C16" s="4"/>
      <c r="D16" s="4"/>
      <c r="E16" s="4"/>
      <c r="F16" s="5"/>
      <c r="G16" s="5"/>
    </row>
    <row r="17" spans="1:9" ht="15.6" x14ac:dyDescent="0.3">
      <c r="A17" s="4"/>
      <c r="B17" s="4"/>
      <c r="C17" s="4"/>
      <c r="D17" s="4"/>
      <c r="E17" s="4"/>
      <c r="F17" s="5"/>
      <c r="G17" s="5"/>
    </row>
    <row r="19" spans="1:9" s="7" customFormat="1" ht="13.2" x14ac:dyDescent="0.25">
      <c r="C19" s="9"/>
      <c r="H19"/>
      <c r="I19" s="13"/>
    </row>
    <row r="20" spans="1:9" ht="13.2" x14ac:dyDescent="0.25">
      <c r="H20" s="7"/>
    </row>
    <row r="21" spans="1:9" ht="13.2" x14ac:dyDescent="0.25"/>
    <row r="22" spans="1:9" ht="13.2" x14ac:dyDescent="0.25"/>
    <row r="23" spans="1:9" ht="15.6" x14ac:dyDescent="0.3">
      <c r="A23" s="2"/>
      <c r="B23" s="6"/>
      <c r="C23" s="2"/>
      <c r="D23" s="2"/>
      <c r="E23" s="2"/>
      <c r="F23" s="3"/>
      <c r="G23" s="3"/>
    </row>
    <row r="24" spans="1:9" ht="15.6" x14ac:dyDescent="0.3">
      <c r="A24" s="2"/>
      <c r="B24" s="6"/>
      <c r="C24" s="2"/>
      <c r="D24" s="2"/>
      <c r="E24" s="2"/>
      <c r="F24" s="3"/>
      <c r="G24" s="3"/>
    </row>
    <row r="25" spans="1:9" ht="15.6" x14ac:dyDescent="0.3">
      <c r="A25" s="2"/>
      <c r="B25" s="6"/>
      <c r="C25" s="2"/>
      <c r="D25" s="2"/>
      <c r="E25" s="2"/>
      <c r="F25" s="3"/>
      <c r="G25" s="3"/>
    </row>
    <row r="26" spans="1:9" ht="15.6" x14ac:dyDescent="0.3">
      <c r="A26" s="2"/>
      <c r="B26" s="6"/>
      <c r="C26" s="2"/>
      <c r="D26" s="2"/>
      <c r="E26" s="2"/>
      <c r="F26" s="3"/>
      <c r="G26" s="3"/>
    </row>
    <row r="27" spans="1:9" ht="15.6" x14ac:dyDescent="0.3">
      <c r="A27" s="2"/>
      <c r="B27" s="6"/>
      <c r="C27" s="2"/>
      <c r="D27" s="2"/>
      <c r="E27" s="2"/>
      <c r="F27" s="3"/>
      <c r="G27" s="3"/>
    </row>
    <row r="28" spans="1:9" ht="15.6" x14ac:dyDescent="0.3">
      <c r="A28" s="2"/>
      <c r="B28" s="6"/>
      <c r="C28" s="2"/>
      <c r="D28" s="2"/>
      <c r="E28" s="2"/>
      <c r="F28" s="3"/>
      <c r="G28" s="3"/>
    </row>
    <row r="29" spans="1:9" ht="15.6" x14ac:dyDescent="0.3">
      <c r="A29" s="2"/>
      <c r="B29" s="6"/>
      <c r="C29" s="2"/>
      <c r="D29" s="2"/>
      <c r="E29" s="2"/>
      <c r="F29" s="3"/>
      <c r="G29" s="3"/>
    </row>
    <row r="30" spans="1:9" ht="15.6" x14ac:dyDescent="0.3">
      <c r="A30" s="2"/>
      <c r="B30" s="6"/>
      <c r="C30" s="2"/>
      <c r="D30" s="2"/>
      <c r="E30" s="2"/>
      <c r="F30" s="3"/>
      <c r="G30" s="3"/>
    </row>
    <row r="31" spans="1:9" ht="15" x14ac:dyDescent="0.25">
      <c r="A31" s="2"/>
      <c r="B31" s="2"/>
      <c r="C31" s="2"/>
      <c r="D31" s="2"/>
      <c r="E31" s="2"/>
      <c r="F31" s="3"/>
      <c r="G31" s="3"/>
    </row>
    <row r="32" spans="1:9" ht="15" x14ac:dyDescent="0.25">
      <c r="A32" s="2"/>
      <c r="B32" s="2"/>
      <c r="C32" s="2"/>
      <c r="D32" s="2"/>
      <c r="E32" s="2"/>
      <c r="F32" s="3"/>
      <c r="G32" s="3"/>
    </row>
    <row r="33" spans="1:7" ht="15" x14ac:dyDescent="0.25">
      <c r="A33" s="2"/>
      <c r="B33" s="2"/>
      <c r="C33" s="2"/>
      <c r="D33" s="2"/>
      <c r="E33" s="2"/>
      <c r="F33" s="3"/>
      <c r="G33" s="3"/>
    </row>
    <row r="34" spans="1:7" ht="15" x14ac:dyDescent="0.25">
      <c r="A34" s="2"/>
      <c r="B34" s="2"/>
      <c r="C34" s="2"/>
      <c r="D34" s="2"/>
      <c r="E34" s="2"/>
      <c r="F34" s="3"/>
      <c r="G34" s="3"/>
    </row>
    <row r="35" spans="1:7" ht="15" x14ac:dyDescent="0.25">
      <c r="A35" s="2"/>
      <c r="B35" s="2"/>
      <c r="C35" s="2"/>
      <c r="D35" s="2"/>
      <c r="E35" s="2"/>
      <c r="F35" s="3"/>
      <c r="G35" s="3"/>
    </row>
    <row r="36" spans="1:7" ht="15" x14ac:dyDescent="0.25">
      <c r="A36" s="2"/>
      <c r="B36" s="2"/>
      <c r="C36" s="2"/>
      <c r="D36" s="2"/>
      <c r="E36" s="2"/>
      <c r="F36" s="3"/>
      <c r="G36" s="3"/>
    </row>
    <row r="37" spans="1:7" ht="15" x14ac:dyDescent="0.25">
      <c r="A37" s="2"/>
      <c r="B37" s="2"/>
      <c r="C37" s="2"/>
      <c r="D37" s="2"/>
      <c r="E37" s="2"/>
      <c r="F37" s="3"/>
      <c r="G37" s="3"/>
    </row>
    <row r="38" spans="1:7" ht="15" x14ac:dyDescent="0.25">
      <c r="A38" s="2"/>
      <c r="B38" s="2"/>
      <c r="C38" s="2"/>
      <c r="D38" s="2"/>
      <c r="E38" s="2"/>
      <c r="F38" s="3"/>
      <c r="G38" s="3"/>
    </row>
    <row r="39" spans="1:7" ht="15" x14ac:dyDescent="0.25">
      <c r="A39" s="2"/>
      <c r="B39" s="2"/>
      <c r="C39" s="2"/>
      <c r="D39" s="2"/>
      <c r="E39" s="2"/>
      <c r="F39" s="3"/>
      <c r="G39" s="3"/>
    </row>
    <row r="40" spans="1:7" ht="15" x14ac:dyDescent="0.25">
      <c r="A40" s="2"/>
      <c r="B40" s="2"/>
      <c r="C40" s="2"/>
      <c r="D40" s="2"/>
      <c r="E40" s="2"/>
      <c r="F40" s="3"/>
      <c r="G40" s="3"/>
    </row>
    <row r="41" spans="1:7" ht="15" x14ac:dyDescent="0.25">
      <c r="A41" s="2"/>
      <c r="B41" s="2"/>
      <c r="C41" s="2"/>
      <c r="D41" s="2"/>
      <c r="E41" s="2"/>
      <c r="F41" s="3"/>
      <c r="G41" s="3"/>
    </row>
    <row r="42" spans="1:7" ht="15" x14ac:dyDescent="0.25">
      <c r="A42" s="2"/>
      <c r="B42" s="2"/>
      <c r="C42" s="2"/>
      <c r="D42" s="2"/>
      <c r="E42" s="2"/>
      <c r="F42" s="3"/>
      <c r="G42" s="3"/>
    </row>
    <row r="43" spans="1:7" ht="15" x14ac:dyDescent="0.25">
      <c r="A43" s="2"/>
      <c r="B43" s="2"/>
      <c r="C43" s="2"/>
      <c r="D43" s="2"/>
      <c r="E43" s="2"/>
      <c r="F43" s="3"/>
      <c r="G43" s="3"/>
    </row>
    <row r="44" spans="1:7" ht="15" x14ac:dyDescent="0.25">
      <c r="A44" s="2"/>
      <c r="B44" s="2"/>
      <c r="C44" s="2"/>
      <c r="D44" s="2"/>
      <c r="E44" s="2"/>
      <c r="F44" s="3"/>
      <c r="G44" s="3"/>
    </row>
    <row r="45" spans="1:7" ht="15" x14ac:dyDescent="0.25">
      <c r="A45" s="2"/>
      <c r="B45" s="2"/>
      <c r="C45" s="2"/>
      <c r="D45" s="2"/>
      <c r="E45" s="2"/>
      <c r="F45" s="3"/>
      <c r="G45" s="3"/>
    </row>
    <row r="46" spans="1:7" ht="15" x14ac:dyDescent="0.25">
      <c r="A46" s="2"/>
      <c r="B46" s="2"/>
      <c r="C46" s="2"/>
      <c r="D46" s="2"/>
      <c r="E46" s="2"/>
      <c r="F46" s="3"/>
      <c r="G46" s="3"/>
    </row>
    <row r="47" spans="1:7" ht="15" x14ac:dyDescent="0.25">
      <c r="A47" s="2"/>
      <c r="B47" s="2"/>
      <c r="C47" s="2"/>
      <c r="D47" s="2"/>
      <c r="E47" s="2"/>
      <c r="F47" s="3"/>
      <c r="G47" s="3"/>
    </row>
    <row r="48" spans="1:7" ht="15" x14ac:dyDescent="0.25">
      <c r="A48" s="2"/>
      <c r="B48" s="2"/>
      <c r="C48" s="2"/>
      <c r="D48" s="2"/>
      <c r="E48" s="2"/>
      <c r="F48" s="3"/>
      <c r="G48" s="3"/>
    </row>
    <row r="49" spans="1:7" ht="15" x14ac:dyDescent="0.25">
      <c r="A49" s="2"/>
      <c r="B49" s="2"/>
      <c r="C49" s="2"/>
      <c r="D49" s="2"/>
      <c r="E49" s="2"/>
      <c r="F49" s="3"/>
      <c r="G49" s="3"/>
    </row>
    <row r="50" spans="1:7" ht="15" x14ac:dyDescent="0.25">
      <c r="A50" s="2"/>
      <c r="B50" s="2"/>
      <c r="C50" s="2"/>
      <c r="D50" s="2"/>
      <c r="E50" s="2"/>
      <c r="F50" s="3"/>
      <c r="G50" s="3"/>
    </row>
    <row r="51" spans="1:7" ht="15" x14ac:dyDescent="0.25">
      <c r="A51" s="2"/>
      <c r="B51" s="2"/>
      <c r="C51" s="2"/>
      <c r="D51" s="2"/>
      <c r="E51" s="2"/>
      <c r="F51" s="3"/>
      <c r="G51" s="3"/>
    </row>
    <row r="52" spans="1:7" ht="15" x14ac:dyDescent="0.25">
      <c r="A52" s="2"/>
      <c r="B52" s="2"/>
      <c r="C52" s="2"/>
      <c r="D52" s="2"/>
      <c r="E52" s="2"/>
      <c r="F52" s="3"/>
      <c r="G52" s="3"/>
    </row>
    <row r="53" spans="1:7" ht="15" x14ac:dyDescent="0.25">
      <c r="A53" s="2"/>
      <c r="B53" s="2"/>
      <c r="C53" s="2"/>
      <c r="D53" s="2"/>
      <c r="E53" s="2"/>
      <c r="F53" s="3"/>
      <c r="G53" s="3"/>
    </row>
    <row r="54" spans="1:7" ht="15" x14ac:dyDescent="0.25">
      <c r="A54" s="2"/>
      <c r="B54" s="2"/>
      <c r="C54" s="2"/>
      <c r="D54" s="2"/>
      <c r="E54" s="2"/>
      <c r="F54" s="3"/>
      <c r="G54" s="3"/>
    </row>
    <row r="55" spans="1:7" ht="15" x14ac:dyDescent="0.25">
      <c r="A55" s="2"/>
      <c r="B55" s="2"/>
      <c r="C55" s="2"/>
      <c r="D55" s="2"/>
      <c r="E55" s="2"/>
      <c r="F55" s="3"/>
      <c r="G55" s="3"/>
    </row>
    <row r="56" spans="1:7" ht="15" x14ac:dyDescent="0.25">
      <c r="A56" s="2"/>
      <c r="B56" s="2"/>
      <c r="C56" s="2"/>
      <c r="D56" s="2"/>
      <c r="E56" s="2"/>
      <c r="F56" s="3"/>
      <c r="G56" s="3"/>
    </row>
    <row r="57" spans="1:7" ht="15" x14ac:dyDescent="0.25">
      <c r="A57" s="2"/>
      <c r="B57" s="2"/>
      <c r="C57" s="2"/>
      <c r="D57" s="2"/>
      <c r="E57" s="2"/>
      <c r="F57" s="3"/>
      <c r="G57" s="3"/>
    </row>
    <row r="58" spans="1:7" ht="15" x14ac:dyDescent="0.25">
      <c r="A58" s="2"/>
      <c r="B58" s="2"/>
      <c r="C58" s="2"/>
      <c r="D58" s="2"/>
      <c r="E58" s="2"/>
      <c r="F58" s="3"/>
      <c r="G58" s="3"/>
    </row>
    <row r="59" spans="1:7" ht="15" x14ac:dyDescent="0.25">
      <c r="A59" s="2"/>
      <c r="B59" s="2"/>
      <c r="C59" s="2"/>
      <c r="D59" s="2"/>
      <c r="E59" s="2"/>
      <c r="F59" s="3"/>
      <c r="G59" s="3"/>
    </row>
    <row r="60" spans="1:7" ht="15" x14ac:dyDescent="0.25">
      <c r="A60" s="2"/>
      <c r="B60" s="2"/>
      <c r="C60" s="2"/>
      <c r="D60" s="2"/>
      <c r="E60" s="2"/>
      <c r="F60" s="3"/>
      <c r="G60" s="3"/>
    </row>
    <row r="61" spans="1:7" ht="15" x14ac:dyDescent="0.25">
      <c r="A61" s="2"/>
      <c r="B61" s="2"/>
      <c r="C61" s="2"/>
      <c r="D61" s="2"/>
      <c r="E61" s="2"/>
      <c r="F61" s="3"/>
      <c r="G61" s="3"/>
    </row>
    <row r="62" spans="1:7" ht="15" x14ac:dyDescent="0.25">
      <c r="A62" s="2"/>
      <c r="B62" s="2"/>
      <c r="C62" s="2"/>
      <c r="D62" s="2"/>
      <c r="E62" s="2"/>
      <c r="F62" s="3"/>
      <c r="G62" s="3"/>
    </row>
    <row r="63" spans="1:7" ht="15" x14ac:dyDescent="0.25">
      <c r="A63" s="2"/>
      <c r="B63" s="2"/>
      <c r="C63" s="2"/>
      <c r="D63" s="2"/>
      <c r="E63" s="2"/>
      <c r="F63" s="3"/>
      <c r="G63" s="3"/>
    </row>
    <row r="64" spans="1:7" ht="15" x14ac:dyDescent="0.25">
      <c r="A64" s="2"/>
      <c r="B64" s="2"/>
      <c r="C64" s="2"/>
      <c r="D64" s="2"/>
      <c r="E64" s="2"/>
      <c r="F64" s="3"/>
      <c r="G64" s="3"/>
    </row>
    <row r="65" spans="1:7" ht="15" x14ac:dyDescent="0.25">
      <c r="A65" s="2"/>
      <c r="B65" s="2"/>
      <c r="C65" s="2"/>
      <c r="D65" s="2"/>
      <c r="E65" s="2"/>
      <c r="F65" s="3"/>
      <c r="G65" s="3"/>
    </row>
    <row r="66" spans="1:7" ht="15" x14ac:dyDescent="0.25">
      <c r="A66" s="2"/>
      <c r="B66" s="2"/>
      <c r="C66" s="2"/>
      <c r="D66" s="2"/>
      <c r="E66" s="2"/>
      <c r="F66" s="3"/>
      <c r="G66" s="3"/>
    </row>
    <row r="67" spans="1:7" ht="15" x14ac:dyDescent="0.25">
      <c r="A67" s="2"/>
      <c r="B67" s="2"/>
      <c r="C67" s="2"/>
      <c r="D67" s="2"/>
      <c r="E67" s="2"/>
      <c r="F67" s="3"/>
      <c r="G67" s="3"/>
    </row>
    <row r="68" spans="1:7" ht="15" x14ac:dyDescent="0.25">
      <c r="A68" s="2"/>
      <c r="B68" s="2"/>
      <c r="C68" s="2"/>
      <c r="D68" s="2"/>
      <c r="E68" s="2"/>
      <c r="F68" s="3"/>
      <c r="G68" s="3"/>
    </row>
    <row r="69" spans="1:7" ht="15" x14ac:dyDescent="0.25">
      <c r="A69" s="2"/>
      <c r="B69" s="2"/>
      <c r="C69" s="2"/>
      <c r="D69" s="2"/>
      <c r="E69" s="2"/>
      <c r="F69" s="3"/>
      <c r="G69" s="3"/>
    </row>
    <row r="70" spans="1:7" ht="15" x14ac:dyDescent="0.25">
      <c r="A70" s="2"/>
      <c r="B70" s="2"/>
      <c r="C70" s="2"/>
      <c r="D70" s="2"/>
      <c r="E70" s="2"/>
      <c r="F70" s="3"/>
      <c r="G70" s="3"/>
    </row>
    <row r="71" spans="1:7" ht="15" x14ac:dyDescent="0.25">
      <c r="A71" s="2"/>
      <c r="B71" s="2"/>
      <c r="C71" s="2"/>
      <c r="D71" s="2"/>
      <c r="E71" s="2"/>
      <c r="F71" s="3"/>
      <c r="G71" s="3"/>
    </row>
    <row r="72" spans="1:7" ht="15" x14ac:dyDescent="0.25">
      <c r="A72" s="2"/>
      <c r="B72" s="2"/>
      <c r="C72" s="2"/>
      <c r="D72" s="2"/>
      <c r="E72" s="2"/>
      <c r="F72" s="3"/>
      <c r="G72" s="3"/>
    </row>
    <row r="73" spans="1:7" ht="15" x14ac:dyDescent="0.25">
      <c r="A73" s="2"/>
      <c r="B73" s="2"/>
      <c r="C73" s="2"/>
      <c r="D73" s="2"/>
      <c r="E73" s="2"/>
      <c r="F73" s="3"/>
      <c r="G73" s="3"/>
    </row>
    <row r="74" spans="1:7" ht="15" x14ac:dyDescent="0.25">
      <c r="A74" s="2"/>
      <c r="B74" s="2"/>
      <c r="C74" s="2"/>
      <c r="D74" s="2"/>
      <c r="E74" s="2"/>
      <c r="F74" s="3"/>
      <c r="G74" s="3"/>
    </row>
    <row r="75" spans="1:7" ht="15" x14ac:dyDescent="0.25">
      <c r="A75" s="2"/>
      <c r="B75" s="2"/>
      <c r="C75" s="2"/>
      <c r="D75" s="2"/>
      <c r="E75" s="2"/>
      <c r="F75" s="3"/>
      <c r="G75" s="3"/>
    </row>
    <row r="76" spans="1:7" ht="15" x14ac:dyDescent="0.25">
      <c r="A76" s="2"/>
      <c r="B76" s="2"/>
      <c r="C76" s="2"/>
      <c r="D76" s="2"/>
      <c r="E76" s="2"/>
      <c r="F76" s="3"/>
      <c r="G76" s="3"/>
    </row>
    <row r="77" spans="1:7" ht="15" x14ac:dyDescent="0.25">
      <c r="A77" s="2"/>
      <c r="B77" s="2"/>
      <c r="C77" s="2"/>
      <c r="D77" s="2"/>
      <c r="E77" s="2"/>
      <c r="F77" s="3"/>
      <c r="G77" s="3"/>
    </row>
    <row r="78" spans="1:7" ht="15" x14ac:dyDescent="0.25">
      <c r="A78" s="2"/>
      <c r="B78" s="2"/>
      <c r="C78" s="2"/>
      <c r="D78" s="2"/>
      <c r="E78" s="2"/>
      <c r="F78" s="3"/>
      <c r="G78" s="3"/>
    </row>
    <row r="79" spans="1:7" ht="15" x14ac:dyDescent="0.25">
      <c r="A79" s="2"/>
      <c r="B79" s="2"/>
      <c r="C79" s="2"/>
      <c r="D79" s="2"/>
      <c r="E79" s="2"/>
      <c r="F79" s="3"/>
      <c r="G79" s="3"/>
    </row>
    <row r="80" spans="1:7" ht="15" x14ac:dyDescent="0.25">
      <c r="A80" s="2"/>
      <c r="B80" s="2"/>
      <c r="C80" s="2"/>
      <c r="D80" s="2"/>
      <c r="E80" s="2"/>
      <c r="F80" s="3"/>
      <c r="G80" s="3"/>
    </row>
    <row r="81" spans="1:7" ht="15" x14ac:dyDescent="0.25">
      <c r="A81" s="2"/>
      <c r="B81" s="2"/>
      <c r="C81" s="2"/>
      <c r="D81" s="2"/>
      <c r="E81" s="2"/>
      <c r="F81" s="3"/>
      <c r="G81" s="3"/>
    </row>
    <row r="82" spans="1:7" ht="15" x14ac:dyDescent="0.25">
      <c r="A82" s="2"/>
      <c r="B82" s="2"/>
      <c r="C82" s="2"/>
      <c r="D82" s="2"/>
      <c r="E82" s="2"/>
      <c r="F82" s="3"/>
      <c r="G82" s="3"/>
    </row>
    <row r="83" spans="1:7" ht="15" x14ac:dyDescent="0.25">
      <c r="A83" s="2"/>
      <c r="B83" s="2"/>
      <c r="C83" s="2"/>
      <c r="D83" s="2"/>
      <c r="E83" s="2"/>
      <c r="F83" s="3"/>
      <c r="G83" s="3"/>
    </row>
    <row r="84" spans="1:7" ht="15" x14ac:dyDescent="0.25">
      <c r="A84" s="2"/>
      <c r="B84" s="2"/>
      <c r="C84" s="2"/>
      <c r="D84" s="2"/>
      <c r="E84" s="2"/>
      <c r="F84" s="3"/>
      <c r="G84" s="3"/>
    </row>
    <row r="85" spans="1:7" ht="15" x14ac:dyDescent="0.25">
      <c r="A85" s="2"/>
      <c r="B85" s="2"/>
      <c r="C85" s="2"/>
      <c r="D85" s="2"/>
      <c r="E85" s="2"/>
      <c r="F85" s="3"/>
      <c r="G85" s="3"/>
    </row>
    <row r="86" spans="1:7" ht="15" x14ac:dyDescent="0.25">
      <c r="A86" s="2"/>
      <c r="B86" s="2"/>
      <c r="C86" s="2"/>
      <c r="D86" s="2"/>
      <c r="E86" s="2"/>
      <c r="F86" s="3"/>
      <c r="G86" s="3"/>
    </row>
    <row r="87" spans="1:7" ht="15" x14ac:dyDescent="0.25">
      <c r="A87" s="2"/>
      <c r="B87" s="2"/>
      <c r="C87" s="2"/>
      <c r="D87" s="2"/>
      <c r="E87" s="2"/>
      <c r="F87" s="3"/>
      <c r="G87" s="3"/>
    </row>
    <row r="88" spans="1:7" ht="15" x14ac:dyDescent="0.25">
      <c r="A88" s="2"/>
      <c r="B88" s="2"/>
      <c r="C88" s="2"/>
      <c r="D88" s="2"/>
      <c r="E88" s="2"/>
      <c r="F88" s="3"/>
      <c r="G88" s="3"/>
    </row>
    <row r="89" spans="1:7" ht="15" x14ac:dyDescent="0.25">
      <c r="A89" s="2"/>
      <c r="B89" s="2"/>
      <c r="C89" s="2"/>
      <c r="D89" s="2"/>
      <c r="E89" s="2"/>
      <c r="F89" s="3"/>
      <c r="G89" s="3"/>
    </row>
    <row r="90" spans="1:7" ht="15" x14ac:dyDescent="0.25">
      <c r="A90" s="2"/>
      <c r="B90" s="2"/>
      <c r="C90" s="2"/>
      <c r="D90" s="2"/>
      <c r="E90" s="2"/>
      <c r="F90" s="3"/>
      <c r="G90" s="3"/>
    </row>
    <row r="91" spans="1:7" ht="15" x14ac:dyDescent="0.25">
      <c r="A91" s="2"/>
      <c r="B91" s="2"/>
      <c r="C91" s="2"/>
      <c r="D91" s="2"/>
      <c r="E91" s="2"/>
      <c r="F91" s="3"/>
      <c r="G91" s="3"/>
    </row>
    <row r="92" spans="1:7" ht="15" x14ac:dyDescent="0.25">
      <c r="A92" s="2"/>
      <c r="B92" s="2"/>
      <c r="C92" s="2"/>
      <c r="D92" s="2"/>
      <c r="E92" s="2"/>
      <c r="F92" s="3"/>
      <c r="G92" s="3"/>
    </row>
  </sheetData>
  <mergeCells count="10">
    <mergeCell ref="A1:I1"/>
    <mergeCell ref="A2:E2"/>
    <mergeCell ref="F2:I2"/>
    <mergeCell ref="G4:G5"/>
    <mergeCell ref="A4:A5"/>
    <mergeCell ref="B4:B5"/>
    <mergeCell ref="C4:C5"/>
    <mergeCell ref="D4:D5"/>
    <mergeCell ref="E4:E5"/>
    <mergeCell ref="F4:F5"/>
  </mergeCells>
  <phoneticPr fontId="4" type="noConversion"/>
  <pageMargins left="0.25" right="0.25" top="0.75" bottom="0.75" header="0.3" footer="0.3"/>
  <pageSetup paperSize="9" scale="51"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pageSetUpPr fitToPage="1"/>
  </sheetPr>
  <dimension ref="A1:I91"/>
  <sheetViews>
    <sheetView zoomScale="85" zoomScaleNormal="85" workbookViewId="0">
      <pane ySplit="3" topLeftCell="A4" activePane="bottomLeft" state="frozen"/>
      <selection pane="bottomLeft" activeCell="F12" sqref="F12"/>
    </sheetView>
  </sheetViews>
  <sheetFormatPr defaultColWidth="14.44140625" defaultRowHeight="15.75" customHeight="1" x14ac:dyDescent="0.25"/>
  <cols>
    <col min="1" max="1" width="8.33203125" bestFit="1" customWidth="1"/>
    <col min="2" max="2" width="17.33203125" bestFit="1" customWidth="1"/>
    <col min="3" max="3" width="27.109375" style="1" bestFit="1" customWidth="1"/>
    <col min="4" max="4" width="38.44140625" bestFit="1" customWidth="1"/>
    <col min="5" max="5" width="51.109375" bestFit="1" customWidth="1"/>
    <col min="6" max="6" width="82" bestFit="1" customWidth="1"/>
    <col min="7" max="7" width="17.33203125" bestFit="1" customWidth="1"/>
    <col min="8" max="8" width="24.109375" bestFit="1" customWidth="1"/>
    <col min="9" max="9" width="17.5546875" style="12" bestFit="1" customWidth="1"/>
  </cols>
  <sheetData>
    <row r="1" spans="1:9" ht="39.75" customHeight="1" thickBot="1" x14ac:dyDescent="0.6">
      <c r="A1" s="771" t="s">
        <v>11</v>
      </c>
      <c r="B1" s="771"/>
      <c r="C1" s="771"/>
      <c r="D1" s="771"/>
      <c r="E1" s="771"/>
      <c r="F1" s="771"/>
      <c r="G1" s="771"/>
      <c r="H1" s="771"/>
      <c r="I1" s="771"/>
    </row>
    <row r="2" spans="1:9" s="8" customFormat="1" ht="30.6" x14ac:dyDescent="0.55000000000000004">
      <c r="A2" s="761" t="s">
        <v>12</v>
      </c>
      <c r="B2" s="762"/>
      <c r="C2" s="762"/>
      <c r="D2" s="762"/>
      <c r="E2" s="762"/>
      <c r="F2" s="769" t="s">
        <v>13</v>
      </c>
      <c r="G2" s="769"/>
      <c r="H2" s="769"/>
      <c r="I2" s="770"/>
    </row>
    <row r="3" spans="1:9" s="10" customFormat="1" ht="39.9" customHeight="1" x14ac:dyDescent="0.25">
      <c r="A3" s="17" t="s">
        <v>23</v>
      </c>
      <c r="B3" s="15" t="s">
        <v>14</v>
      </c>
      <c r="C3" s="16" t="s">
        <v>22</v>
      </c>
      <c r="D3" s="14" t="s">
        <v>0</v>
      </c>
      <c r="E3" s="14" t="s">
        <v>2</v>
      </c>
      <c r="F3" s="14" t="s">
        <v>19</v>
      </c>
      <c r="G3" s="15" t="s">
        <v>1</v>
      </c>
      <c r="H3" s="15" t="s">
        <v>15</v>
      </c>
      <c r="I3" s="18" t="s">
        <v>16</v>
      </c>
    </row>
    <row r="4" spans="1:9" s="11" customFormat="1" ht="39.9" customHeight="1" x14ac:dyDescent="0.25">
      <c r="A4" s="19">
        <v>1</v>
      </c>
      <c r="B4" s="20">
        <v>44323</v>
      </c>
      <c r="C4" s="21">
        <v>2021050503001</v>
      </c>
      <c r="D4" s="22" t="s">
        <v>4</v>
      </c>
      <c r="E4" s="22" t="s">
        <v>3</v>
      </c>
      <c r="F4" s="22" t="s">
        <v>10</v>
      </c>
      <c r="G4" s="23">
        <v>44334</v>
      </c>
      <c r="H4" s="23" t="s">
        <v>17</v>
      </c>
      <c r="I4" s="24">
        <v>1031</v>
      </c>
    </row>
    <row r="5" spans="1:9" s="11" customFormat="1" ht="39.9" customHeight="1" x14ac:dyDescent="0.25">
      <c r="A5" s="19">
        <v>2</v>
      </c>
      <c r="B5" s="23">
        <v>44327</v>
      </c>
      <c r="C5" s="21">
        <v>2021051003001</v>
      </c>
      <c r="D5" s="22" t="s">
        <v>5</v>
      </c>
      <c r="E5" s="22" t="s">
        <v>6</v>
      </c>
      <c r="F5" s="22" t="s">
        <v>7</v>
      </c>
      <c r="G5" s="23">
        <v>44334</v>
      </c>
      <c r="H5" s="23" t="s">
        <v>18</v>
      </c>
      <c r="I5" s="25">
        <v>4512</v>
      </c>
    </row>
    <row r="6" spans="1:9" s="11" customFormat="1" ht="30" customHeight="1" x14ac:dyDescent="0.25">
      <c r="A6" s="392">
        <v>3</v>
      </c>
      <c r="B6" s="700">
        <v>44326</v>
      </c>
      <c r="C6" s="774">
        <v>2021051002001</v>
      </c>
      <c r="D6" s="772" t="s">
        <v>21</v>
      </c>
      <c r="E6" s="772" t="s">
        <v>8</v>
      </c>
      <c r="F6" s="381" t="s">
        <v>9</v>
      </c>
      <c r="G6" s="700">
        <v>44328</v>
      </c>
      <c r="H6" s="23" t="s">
        <v>67</v>
      </c>
      <c r="I6" s="25">
        <v>380</v>
      </c>
    </row>
    <row r="7" spans="1:9" ht="30" customHeight="1" thickBot="1" x14ac:dyDescent="0.3">
      <c r="A7" s="594"/>
      <c r="B7" s="701"/>
      <c r="C7" s="775"/>
      <c r="D7" s="773"/>
      <c r="E7" s="773"/>
      <c r="F7" s="579"/>
      <c r="G7" s="701"/>
      <c r="H7" s="26" t="s">
        <v>20</v>
      </c>
      <c r="I7" s="27">
        <v>460</v>
      </c>
    </row>
    <row r="8" spans="1:9" ht="15.6" x14ac:dyDescent="0.3">
      <c r="A8" s="4"/>
      <c r="B8" s="4"/>
      <c r="C8" s="4"/>
      <c r="D8" s="4"/>
      <c r="E8" s="4"/>
      <c r="F8" s="5"/>
      <c r="G8" s="5"/>
    </row>
    <row r="9" spans="1:9" s="7" customFormat="1" ht="49.95" customHeight="1" x14ac:dyDescent="0.25">
      <c r="H9"/>
      <c r="I9" s="13"/>
    </row>
    <row r="10" spans="1:9" s="7" customFormat="1" ht="49.95" customHeight="1" x14ac:dyDescent="0.25">
      <c r="I10" s="13"/>
    </row>
    <row r="11" spans="1:9" ht="49.95" customHeight="1" x14ac:dyDescent="0.25">
      <c r="C11"/>
      <c r="H11" s="7"/>
    </row>
    <row r="12" spans="1:9" ht="49.95" customHeight="1" x14ac:dyDescent="0.25">
      <c r="C12"/>
    </row>
    <row r="13" spans="1:9" ht="49.95" customHeight="1" x14ac:dyDescent="0.25">
      <c r="C13"/>
    </row>
    <row r="14" spans="1:9" ht="110.4" customHeight="1" x14ac:dyDescent="0.25">
      <c r="C14"/>
    </row>
    <row r="15" spans="1:9" ht="15.6" x14ac:dyDescent="0.3">
      <c r="A15" s="4"/>
      <c r="B15" s="4"/>
      <c r="C15" s="4"/>
      <c r="D15" s="4"/>
      <c r="E15" s="4"/>
      <c r="F15" s="5"/>
      <c r="G15" s="5"/>
    </row>
    <row r="16" spans="1:9" ht="15.6" x14ac:dyDescent="0.3">
      <c r="A16" s="4"/>
      <c r="B16" s="4"/>
      <c r="C16" s="4"/>
      <c r="D16" s="4"/>
      <c r="E16" s="4"/>
      <c r="F16" s="5"/>
      <c r="G16" s="5"/>
    </row>
    <row r="18" spans="1:9" s="7" customFormat="1" ht="13.2" x14ac:dyDescent="0.25">
      <c r="C18" s="9"/>
      <c r="H18"/>
      <c r="I18" s="13"/>
    </row>
    <row r="19" spans="1:9" ht="13.2" x14ac:dyDescent="0.25">
      <c r="H19" s="7"/>
    </row>
    <row r="20" spans="1:9" ht="13.2" x14ac:dyDescent="0.25"/>
    <row r="21" spans="1:9" ht="13.2" x14ac:dyDescent="0.25"/>
    <row r="22" spans="1:9" ht="15.6" x14ac:dyDescent="0.3">
      <c r="A22" s="2"/>
      <c r="B22" s="6"/>
      <c r="C22" s="2"/>
      <c r="D22" s="2"/>
      <c r="E22" s="2"/>
      <c r="F22" s="3"/>
      <c r="G22" s="3"/>
    </row>
    <row r="23" spans="1:9" ht="15.6" x14ac:dyDescent="0.3">
      <c r="A23" s="2"/>
      <c r="B23" s="6"/>
      <c r="C23" s="2"/>
      <c r="D23" s="2"/>
      <c r="E23" s="2"/>
      <c r="F23" s="3"/>
      <c r="G23" s="3"/>
    </row>
    <row r="24" spans="1:9" ht="15.6" x14ac:dyDescent="0.3">
      <c r="A24" s="2"/>
      <c r="B24" s="6"/>
      <c r="C24" s="2"/>
      <c r="D24" s="2"/>
      <c r="E24" s="2"/>
      <c r="F24" s="3"/>
      <c r="G24" s="3"/>
    </row>
    <row r="25" spans="1:9" ht="15.6" x14ac:dyDescent="0.3">
      <c r="A25" s="2"/>
      <c r="B25" s="6"/>
      <c r="C25" s="2"/>
      <c r="D25" s="2"/>
      <c r="E25" s="2"/>
      <c r="F25" s="3"/>
      <c r="G25" s="3"/>
    </row>
    <row r="26" spans="1:9" ht="15.6" x14ac:dyDescent="0.3">
      <c r="A26" s="2"/>
      <c r="B26" s="6"/>
      <c r="C26" s="2"/>
      <c r="D26" s="2"/>
      <c r="E26" s="2"/>
      <c r="F26" s="3"/>
      <c r="G26" s="3"/>
    </row>
    <row r="27" spans="1:9" ht="15.6" x14ac:dyDescent="0.3">
      <c r="A27" s="2"/>
      <c r="B27" s="6"/>
      <c r="C27" s="2"/>
      <c r="D27" s="2"/>
      <c r="E27" s="2"/>
      <c r="F27" s="3"/>
      <c r="G27" s="3"/>
    </row>
    <row r="28" spans="1:9" ht="15.6" x14ac:dyDescent="0.3">
      <c r="A28" s="2"/>
      <c r="B28" s="6"/>
      <c r="C28" s="2"/>
      <c r="D28" s="2"/>
      <c r="E28" s="2"/>
      <c r="F28" s="3"/>
      <c r="G28" s="3"/>
    </row>
    <row r="29" spans="1:9" ht="15.6" x14ac:dyDescent="0.3">
      <c r="A29" s="2"/>
      <c r="B29" s="6"/>
      <c r="C29" s="2"/>
      <c r="D29" s="2"/>
      <c r="E29" s="2"/>
      <c r="F29" s="3"/>
      <c r="G29" s="3"/>
    </row>
    <row r="30" spans="1:9" ht="15" x14ac:dyDescent="0.25">
      <c r="A30" s="2"/>
      <c r="B30" s="2"/>
      <c r="C30" s="2"/>
      <c r="D30" s="2"/>
      <c r="E30" s="2"/>
      <c r="F30" s="3"/>
      <c r="G30" s="3"/>
    </row>
    <row r="31" spans="1:9" ht="15" x14ac:dyDescent="0.25">
      <c r="A31" s="2"/>
      <c r="B31" s="2"/>
      <c r="C31" s="2"/>
      <c r="D31" s="2"/>
      <c r="E31" s="2"/>
      <c r="F31" s="3"/>
      <c r="G31" s="3"/>
    </row>
    <row r="32" spans="1:9" ht="15" x14ac:dyDescent="0.25">
      <c r="A32" s="2"/>
      <c r="B32" s="2"/>
      <c r="C32" s="2"/>
      <c r="D32" s="2"/>
      <c r="E32" s="2"/>
      <c r="F32" s="3"/>
      <c r="G32" s="3"/>
    </row>
    <row r="33" spans="1:7" ht="15" x14ac:dyDescent="0.25">
      <c r="A33" s="2"/>
      <c r="B33" s="2"/>
      <c r="C33" s="2"/>
      <c r="D33" s="2"/>
      <c r="E33" s="2"/>
      <c r="F33" s="3"/>
      <c r="G33" s="3"/>
    </row>
    <row r="34" spans="1:7" ht="15" x14ac:dyDescent="0.25">
      <c r="A34" s="2"/>
      <c r="B34" s="2"/>
      <c r="C34" s="2"/>
      <c r="D34" s="2"/>
      <c r="E34" s="2"/>
      <c r="F34" s="3"/>
      <c r="G34" s="3"/>
    </row>
    <row r="35" spans="1:7" ht="15" x14ac:dyDescent="0.25">
      <c r="A35" s="2"/>
      <c r="B35" s="2"/>
      <c r="C35" s="2"/>
      <c r="D35" s="2"/>
      <c r="E35" s="2"/>
      <c r="F35" s="3"/>
      <c r="G35" s="3"/>
    </row>
    <row r="36" spans="1:7" ht="15" x14ac:dyDescent="0.25">
      <c r="A36" s="2"/>
      <c r="B36" s="2"/>
      <c r="C36" s="2"/>
      <c r="D36" s="2"/>
      <c r="E36" s="2"/>
      <c r="F36" s="3"/>
      <c r="G36" s="3"/>
    </row>
    <row r="37" spans="1:7" ht="15" x14ac:dyDescent="0.25">
      <c r="A37" s="2"/>
      <c r="B37" s="2"/>
      <c r="C37" s="2"/>
      <c r="D37" s="2"/>
      <c r="E37" s="2"/>
      <c r="F37" s="3"/>
      <c r="G37" s="3"/>
    </row>
    <row r="38" spans="1:7" ht="15" x14ac:dyDescent="0.25">
      <c r="A38" s="2"/>
      <c r="B38" s="2"/>
      <c r="C38" s="2"/>
      <c r="D38" s="2"/>
      <c r="E38" s="2"/>
      <c r="F38" s="3"/>
      <c r="G38" s="3"/>
    </row>
    <row r="39" spans="1:7" ht="15" x14ac:dyDescent="0.25">
      <c r="A39" s="2"/>
      <c r="B39" s="2"/>
      <c r="C39" s="2"/>
      <c r="D39" s="2"/>
      <c r="E39" s="2"/>
      <c r="F39" s="3"/>
      <c r="G39" s="3"/>
    </row>
    <row r="40" spans="1:7" ht="15" x14ac:dyDescent="0.25">
      <c r="A40" s="2"/>
      <c r="B40" s="2"/>
      <c r="C40" s="2"/>
      <c r="D40" s="2"/>
      <c r="E40" s="2"/>
      <c r="F40" s="3"/>
      <c r="G40" s="3"/>
    </row>
    <row r="41" spans="1:7" ht="15" x14ac:dyDescent="0.25">
      <c r="A41" s="2"/>
      <c r="B41" s="2"/>
      <c r="C41" s="2"/>
      <c r="D41" s="2"/>
      <c r="E41" s="2"/>
      <c r="F41" s="3"/>
      <c r="G41" s="3"/>
    </row>
    <row r="42" spans="1:7" ht="15" x14ac:dyDescent="0.25">
      <c r="A42" s="2"/>
      <c r="B42" s="2"/>
      <c r="C42" s="2"/>
      <c r="D42" s="2"/>
      <c r="E42" s="2"/>
      <c r="F42" s="3"/>
      <c r="G42" s="3"/>
    </row>
    <row r="43" spans="1:7" ht="15" x14ac:dyDescent="0.25">
      <c r="A43" s="2"/>
      <c r="B43" s="2"/>
      <c r="C43" s="2"/>
      <c r="D43" s="2"/>
      <c r="E43" s="2"/>
      <c r="F43" s="3"/>
      <c r="G43" s="3"/>
    </row>
    <row r="44" spans="1:7" ht="15" x14ac:dyDescent="0.25">
      <c r="A44" s="2"/>
      <c r="B44" s="2"/>
      <c r="C44" s="2"/>
      <c r="D44" s="2"/>
      <c r="E44" s="2"/>
      <c r="F44" s="3"/>
      <c r="G44" s="3"/>
    </row>
    <row r="45" spans="1:7" ht="15" x14ac:dyDescent="0.25">
      <c r="A45" s="2"/>
      <c r="B45" s="2"/>
      <c r="C45" s="2"/>
      <c r="D45" s="2"/>
      <c r="E45" s="2"/>
      <c r="F45" s="3"/>
      <c r="G45" s="3"/>
    </row>
    <row r="46" spans="1:7" ht="15" x14ac:dyDescent="0.25">
      <c r="A46" s="2"/>
      <c r="B46" s="2"/>
      <c r="C46" s="2"/>
      <c r="D46" s="2"/>
      <c r="E46" s="2"/>
      <c r="F46" s="3"/>
      <c r="G46" s="3"/>
    </row>
    <row r="47" spans="1:7" ht="15" x14ac:dyDescent="0.25">
      <c r="A47" s="2"/>
      <c r="B47" s="2"/>
      <c r="C47" s="2"/>
      <c r="D47" s="2"/>
      <c r="E47" s="2"/>
      <c r="F47" s="3"/>
      <c r="G47" s="3"/>
    </row>
    <row r="48" spans="1:7" ht="15" x14ac:dyDescent="0.25">
      <c r="A48" s="2"/>
      <c r="B48" s="2"/>
      <c r="C48" s="2"/>
      <c r="D48" s="2"/>
      <c r="E48" s="2"/>
      <c r="F48" s="3"/>
      <c r="G48" s="3"/>
    </row>
    <row r="49" spans="1:7" ht="15" x14ac:dyDescent="0.25">
      <c r="A49" s="2"/>
      <c r="B49" s="2"/>
      <c r="C49" s="2"/>
      <c r="D49" s="2"/>
      <c r="E49" s="2"/>
      <c r="F49" s="3"/>
      <c r="G49" s="3"/>
    </row>
    <row r="50" spans="1:7" ht="15" x14ac:dyDescent="0.25">
      <c r="A50" s="2"/>
      <c r="B50" s="2"/>
      <c r="C50" s="2"/>
      <c r="D50" s="2"/>
      <c r="E50" s="2"/>
      <c r="F50" s="3"/>
      <c r="G50" s="3"/>
    </row>
    <row r="51" spans="1:7" ht="15" x14ac:dyDescent="0.25">
      <c r="A51" s="2"/>
      <c r="B51" s="2"/>
      <c r="C51" s="2"/>
      <c r="D51" s="2"/>
      <c r="E51" s="2"/>
      <c r="F51" s="3"/>
      <c r="G51" s="3"/>
    </row>
    <row r="52" spans="1:7" ht="15" x14ac:dyDescent="0.25">
      <c r="A52" s="2"/>
      <c r="B52" s="2"/>
      <c r="C52" s="2"/>
      <c r="D52" s="2"/>
      <c r="E52" s="2"/>
      <c r="F52" s="3"/>
      <c r="G52" s="3"/>
    </row>
    <row r="53" spans="1:7" ht="15" x14ac:dyDescent="0.25">
      <c r="A53" s="2"/>
      <c r="B53" s="2"/>
      <c r="C53" s="2"/>
      <c r="D53" s="2"/>
      <c r="E53" s="2"/>
      <c r="F53" s="3"/>
      <c r="G53" s="3"/>
    </row>
    <row r="54" spans="1:7" ht="15" x14ac:dyDescent="0.25">
      <c r="A54" s="2"/>
      <c r="B54" s="2"/>
      <c r="C54" s="2"/>
      <c r="D54" s="2"/>
      <c r="E54" s="2"/>
      <c r="F54" s="3"/>
      <c r="G54" s="3"/>
    </row>
    <row r="55" spans="1:7" ht="15" x14ac:dyDescent="0.25">
      <c r="A55" s="2"/>
      <c r="B55" s="2"/>
      <c r="C55" s="2"/>
      <c r="D55" s="2"/>
      <c r="E55" s="2"/>
      <c r="F55" s="3"/>
      <c r="G55" s="3"/>
    </row>
    <row r="56" spans="1:7" ht="15" x14ac:dyDescent="0.25">
      <c r="A56" s="2"/>
      <c r="B56" s="2"/>
      <c r="C56" s="2"/>
      <c r="D56" s="2"/>
      <c r="E56" s="2"/>
      <c r="F56" s="3"/>
      <c r="G56" s="3"/>
    </row>
    <row r="57" spans="1:7" ht="15" x14ac:dyDescent="0.25">
      <c r="A57" s="2"/>
      <c r="B57" s="2"/>
      <c r="C57" s="2"/>
      <c r="D57" s="2"/>
      <c r="E57" s="2"/>
      <c r="F57" s="3"/>
      <c r="G57" s="3"/>
    </row>
    <row r="58" spans="1:7" ht="15" x14ac:dyDescent="0.25">
      <c r="A58" s="2"/>
      <c r="B58" s="2"/>
      <c r="C58" s="2"/>
      <c r="D58" s="2"/>
      <c r="E58" s="2"/>
      <c r="F58" s="3"/>
      <c r="G58" s="3"/>
    </row>
    <row r="59" spans="1:7" ht="15" x14ac:dyDescent="0.25">
      <c r="A59" s="2"/>
      <c r="B59" s="2"/>
      <c r="C59" s="2"/>
      <c r="D59" s="2"/>
      <c r="E59" s="2"/>
      <c r="F59" s="3"/>
      <c r="G59" s="3"/>
    </row>
    <row r="60" spans="1:7" ht="15" x14ac:dyDescent="0.25">
      <c r="A60" s="2"/>
      <c r="B60" s="2"/>
      <c r="C60" s="2"/>
      <c r="D60" s="2"/>
      <c r="E60" s="2"/>
      <c r="F60" s="3"/>
      <c r="G60" s="3"/>
    </row>
    <row r="61" spans="1:7" ht="15" x14ac:dyDescent="0.25">
      <c r="A61" s="2"/>
      <c r="B61" s="2"/>
      <c r="C61" s="2"/>
      <c r="D61" s="2"/>
      <c r="E61" s="2"/>
      <c r="F61" s="3"/>
      <c r="G61" s="3"/>
    </row>
    <row r="62" spans="1:7" ht="15" x14ac:dyDescent="0.25">
      <c r="A62" s="2"/>
      <c r="B62" s="2"/>
      <c r="C62" s="2"/>
      <c r="D62" s="2"/>
      <c r="E62" s="2"/>
      <c r="F62" s="3"/>
      <c r="G62" s="3"/>
    </row>
    <row r="63" spans="1:7" ht="15" x14ac:dyDescent="0.25">
      <c r="A63" s="2"/>
      <c r="B63" s="2"/>
      <c r="C63" s="2"/>
      <c r="D63" s="2"/>
      <c r="E63" s="2"/>
      <c r="F63" s="3"/>
      <c r="G63" s="3"/>
    </row>
    <row r="64" spans="1:7" ht="15" x14ac:dyDescent="0.25">
      <c r="A64" s="2"/>
      <c r="B64" s="2"/>
      <c r="C64" s="2"/>
      <c r="D64" s="2"/>
      <c r="E64" s="2"/>
      <c r="F64" s="3"/>
      <c r="G64" s="3"/>
    </row>
    <row r="65" spans="1:7" ht="15" x14ac:dyDescent="0.25">
      <c r="A65" s="2"/>
      <c r="B65" s="2"/>
      <c r="C65" s="2"/>
      <c r="D65" s="2"/>
      <c r="E65" s="2"/>
      <c r="F65" s="3"/>
      <c r="G65" s="3"/>
    </row>
    <row r="66" spans="1:7" ht="15" x14ac:dyDescent="0.25">
      <c r="A66" s="2"/>
      <c r="B66" s="2"/>
      <c r="C66" s="2"/>
      <c r="D66" s="2"/>
      <c r="E66" s="2"/>
      <c r="F66" s="3"/>
      <c r="G66" s="3"/>
    </row>
    <row r="67" spans="1:7" ht="15" x14ac:dyDescent="0.25">
      <c r="A67" s="2"/>
      <c r="B67" s="2"/>
      <c r="C67" s="2"/>
      <c r="D67" s="2"/>
      <c r="E67" s="2"/>
      <c r="F67" s="3"/>
      <c r="G67" s="3"/>
    </row>
    <row r="68" spans="1:7" ht="15" x14ac:dyDescent="0.25">
      <c r="A68" s="2"/>
      <c r="B68" s="2"/>
      <c r="C68" s="2"/>
      <c r="D68" s="2"/>
      <c r="E68" s="2"/>
      <c r="F68" s="3"/>
      <c r="G68" s="3"/>
    </row>
    <row r="69" spans="1:7" ht="15" x14ac:dyDescent="0.25">
      <c r="A69" s="2"/>
      <c r="B69" s="2"/>
      <c r="C69" s="2"/>
      <c r="D69" s="2"/>
      <c r="E69" s="2"/>
      <c r="F69" s="3"/>
      <c r="G69" s="3"/>
    </row>
    <row r="70" spans="1:7" ht="15" x14ac:dyDescent="0.25">
      <c r="A70" s="2"/>
      <c r="B70" s="2"/>
      <c r="C70" s="2"/>
      <c r="D70" s="2"/>
      <c r="E70" s="2"/>
      <c r="F70" s="3"/>
      <c r="G70" s="3"/>
    </row>
    <row r="71" spans="1:7" ht="15" x14ac:dyDescent="0.25">
      <c r="A71" s="2"/>
      <c r="B71" s="2"/>
      <c r="C71" s="2"/>
      <c r="D71" s="2"/>
      <c r="E71" s="2"/>
      <c r="F71" s="3"/>
      <c r="G71" s="3"/>
    </row>
    <row r="72" spans="1:7" ht="15" x14ac:dyDescent="0.25">
      <c r="A72" s="2"/>
      <c r="B72" s="2"/>
      <c r="C72" s="2"/>
      <c r="D72" s="2"/>
      <c r="E72" s="2"/>
      <c r="F72" s="3"/>
      <c r="G72" s="3"/>
    </row>
    <row r="73" spans="1:7" ht="15" x14ac:dyDescent="0.25">
      <c r="A73" s="2"/>
      <c r="B73" s="2"/>
      <c r="C73" s="2"/>
      <c r="D73" s="2"/>
      <c r="E73" s="2"/>
      <c r="F73" s="3"/>
      <c r="G73" s="3"/>
    </row>
    <row r="74" spans="1:7" ht="15" x14ac:dyDescent="0.25">
      <c r="A74" s="2"/>
      <c r="B74" s="2"/>
      <c r="C74" s="2"/>
      <c r="D74" s="2"/>
      <c r="E74" s="2"/>
      <c r="F74" s="3"/>
      <c r="G74" s="3"/>
    </row>
    <row r="75" spans="1:7" ht="15" x14ac:dyDescent="0.25">
      <c r="A75" s="2"/>
      <c r="B75" s="2"/>
      <c r="C75" s="2"/>
      <c r="D75" s="2"/>
      <c r="E75" s="2"/>
      <c r="F75" s="3"/>
      <c r="G75" s="3"/>
    </row>
    <row r="76" spans="1:7" ht="15" x14ac:dyDescent="0.25">
      <c r="A76" s="2"/>
      <c r="B76" s="2"/>
      <c r="C76" s="2"/>
      <c r="D76" s="2"/>
      <c r="E76" s="2"/>
      <c r="F76" s="3"/>
      <c r="G76" s="3"/>
    </row>
    <row r="77" spans="1:7" ht="15" x14ac:dyDescent="0.25">
      <c r="A77" s="2"/>
      <c r="B77" s="2"/>
      <c r="C77" s="2"/>
      <c r="D77" s="2"/>
      <c r="E77" s="2"/>
      <c r="F77" s="3"/>
      <c r="G77" s="3"/>
    </row>
    <row r="78" spans="1:7" ht="15" x14ac:dyDescent="0.25">
      <c r="A78" s="2"/>
      <c r="B78" s="2"/>
      <c r="C78" s="2"/>
      <c r="D78" s="2"/>
      <c r="E78" s="2"/>
      <c r="F78" s="3"/>
      <c r="G78" s="3"/>
    </row>
    <row r="79" spans="1:7" ht="15" x14ac:dyDescent="0.25">
      <c r="A79" s="2"/>
      <c r="B79" s="2"/>
      <c r="C79" s="2"/>
      <c r="D79" s="2"/>
      <c r="E79" s="2"/>
      <c r="F79" s="3"/>
      <c r="G79" s="3"/>
    </row>
    <row r="80" spans="1:7" ht="15" x14ac:dyDescent="0.25">
      <c r="A80" s="2"/>
      <c r="B80" s="2"/>
      <c r="C80" s="2"/>
      <c r="D80" s="2"/>
      <c r="E80" s="2"/>
      <c r="F80" s="3"/>
      <c r="G80" s="3"/>
    </row>
    <row r="81" spans="1:7" ht="15" x14ac:dyDescent="0.25">
      <c r="A81" s="2"/>
      <c r="B81" s="2"/>
      <c r="C81" s="2"/>
      <c r="D81" s="2"/>
      <c r="E81" s="2"/>
      <c r="F81" s="3"/>
      <c r="G81" s="3"/>
    </row>
    <row r="82" spans="1:7" ht="15" x14ac:dyDescent="0.25">
      <c r="A82" s="2"/>
      <c r="B82" s="2"/>
      <c r="C82" s="2"/>
      <c r="D82" s="2"/>
      <c r="E82" s="2"/>
      <c r="F82" s="3"/>
      <c r="G82" s="3"/>
    </row>
    <row r="83" spans="1:7" ht="15" x14ac:dyDescent="0.25">
      <c r="A83" s="2"/>
      <c r="B83" s="2"/>
      <c r="C83" s="2"/>
      <c r="D83" s="2"/>
      <c r="E83" s="2"/>
      <c r="F83" s="3"/>
      <c r="G83" s="3"/>
    </row>
    <row r="84" spans="1:7" ht="15" x14ac:dyDescent="0.25">
      <c r="A84" s="2"/>
      <c r="B84" s="2"/>
      <c r="C84" s="2"/>
      <c r="D84" s="2"/>
      <c r="E84" s="2"/>
      <c r="F84" s="3"/>
      <c r="G84" s="3"/>
    </row>
    <row r="85" spans="1:7" ht="15" x14ac:dyDescent="0.25">
      <c r="A85" s="2"/>
      <c r="B85" s="2"/>
      <c r="C85" s="2"/>
      <c r="D85" s="2"/>
      <c r="E85" s="2"/>
      <c r="F85" s="3"/>
      <c r="G85" s="3"/>
    </row>
    <row r="86" spans="1:7" ht="15" x14ac:dyDescent="0.25">
      <c r="A86" s="2"/>
      <c r="B86" s="2"/>
      <c r="C86" s="2"/>
      <c r="D86" s="2"/>
      <c r="E86" s="2"/>
      <c r="F86" s="3"/>
      <c r="G86" s="3"/>
    </row>
    <row r="87" spans="1:7" ht="15" x14ac:dyDescent="0.25">
      <c r="A87" s="2"/>
      <c r="B87" s="2"/>
      <c r="C87" s="2"/>
      <c r="D87" s="2"/>
      <c r="E87" s="2"/>
      <c r="F87" s="3"/>
      <c r="G87" s="3"/>
    </row>
    <row r="88" spans="1:7" ht="15" x14ac:dyDescent="0.25">
      <c r="A88" s="2"/>
      <c r="B88" s="2"/>
      <c r="C88" s="2"/>
      <c r="D88" s="2"/>
      <c r="E88" s="2"/>
      <c r="F88" s="3"/>
      <c r="G88" s="3"/>
    </row>
    <row r="89" spans="1:7" ht="15" x14ac:dyDescent="0.25">
      <c r="A89" s="2"/>
      <c r="B89" s="2"/>
      <c r="C89" s="2"/>
      <c r="D89" s="2"/>
      <c r="E89" s="2"/>
      <c r="F89" s="3"/>
      <c r="G89" s="3"/>
    </row>
    <row r="90" spans="1:7" ht="15" x14ac:dyDescent="0.25">
      <c r="A90" s="2"/>
      <c r="B90" s="2"/>
      <c r="C90" s="2"/>
      <c r="D90" s="2"/>
      <c r="E90" s="2"/>
      <c r="F90" s="3"/>
      <c r="G90" s="3"/>
    </row>
    <row r="91" spans="1:7" ht="15" x14ac:dyDescent="0.25">
      <c r="A91" s="2"/>
      <c r="B91" s="2"/>
      <c r="C91" s="2"/>
      <c r="D91" s="2"/>
      <c r="E91" s="2"/>
      <c r="F91" s="3"/>
      <c r="G91" s="3"/>
    </row>
  </sheetData>
  <mergeCells count="10">
    <mergeCell ref="F2:I2"/>
    <mergeCell ref="A2:E2"/>
    <mergeCell ref="A1:I1"/>
    <mergeCell ref="A6:A7"/>
    <mergeCell ref="G6:G7"/>
    <mergeCell ref="F6:F7"/>
    <mergeCell ref="E6:E7"/>
    <mergeCell ref="D6:D7"/>
    <mergeCell ref="C6:C7"/>
    <mergeCell ref="B6:B7"/>
  </mergeCells>
  <phoneticPr fontId="4" type="noConversion"/>
  <pageMargins left="0.25" right="0.25" top="0.75" bottom="0.75" header="0.3" footer="0.3"/>
  <pageSetup paperSize="9" scale="51"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58</vt:i4>
      </vt:variant>
      <vt:variant>
        <vt:lpstr>具名範圍</vt:lpstr>
      </vt:variant>
      <vt:variant>
        <vt:i4>89</vt:i4>
      </vt:variant>
    </vt:vector>
  </HeadingPairs>
  <TitlesOfParts>
    <vt:vector size="147" baseType="lpstr">
      <vt:lpstr>115.03</vt:lpstr>
      <vt:lpstr>115.02</vt:lpstr>
      <vt:lpstr>115.01</vt:lpstr>
      <vt:lpstr>114.12</vt:lpstr>
      <vt:lpstr>114.11</vt:lpstr>
      <vt:lpstr>114.10</vt:lpstr>
      <vt:lpstr>114.09</vt:lpstr>
      <vt:lpstr>114.08</vt:lpstr>
      <vt:lpstr>114.07</vt:lpstr>
      <vt:lpstr>114.06</vt:lpstr>
      <vt:lpstr>114.05</vt:lpstr>
      <vt:lpstr>114.04</vt:lpstr>
      <vt:lpstr>114.03</vt:lpstr>
      <vt:lpstr>114.02</vt:lpstr>
      <vt:lpstr>114.01</vt:lpstr>
      <vt:lpstr>113.12</vt:lpstr>
      <vt:lpstr>113.10</vt:lpstr>
      <vt:lpstr>113.09</vt:lpstr>
      <vt:lpstr>113.08</vt:lpstr>
      <vt:lpstr>113.07</vt:lpstr>
      <vt:lpstr>113.06</vt:lpstr>
      <vt:lpstr>113.05</vt:lpstr>
      <vt:lpstr>113.04</vt:lpstr>
      <vt:lpstr>113.03</vt:lpstr>
      <vt:lpstr>113.02</vt:lpstr>
      <vt:lpstr>113.01</vt:lpstr>
      <vt:lpstr>112.12</vt:lpstr>
      <vt:lpstr>112.11</vt:lpstr>
      <vt:lpstr>112.10</vt:lpstr>
      <vt:lpstr>112.09</vt:lpstr>
      <vt:lpstr>112.08月</vt:lpstr>
      <vt:lpstr>112.07月</vt:lpstr>
      <vt:lpstr>112.06月</vt:lpstr>
      <vt:lpstr>112.05月</vt:lpstr>
      <vt:lpstr>112.04月</vt:lpstr>
      <vt:lpstr>112.03月</vt:lpstr>
      <vt:lpstr>112.02月</vt:lpstr>
      <vt:lpstr>112.01月</vt:lpstr>
      <vt:lpstr>111.12月</vt:lpstr>
      <vt:lpstr>111.11月</vt:lpstr>
      <vt:lpstr>111.10月</vt:lpstr>
      <vt:lpstr>111.09月</vt:lpstr>
      <vt:lpstr>111.08月</vt:lpstr>
      <vt:lpstr>111.07月</vt:lpstr>
      <vt:lpstr>111.06月</vt:lpstr>
      <vt:lpstr>111.05月</vt:lpstr>
      <vt:lpstr>111.04月</vt:lpstr>
      <vt:lpstr>111.03月</vt:lpstr>
      <vt:lpstr>111.02月</vt:lpstr>
      <vt:lpstr>111.01月</vt:lpstr>
      <vt:lpstr>110.12月</vt:lpstr>
      <vt:lpstr>110.11月</vt:lpstr>
      <vt:lpstr>110.10月</vt:lpstr>
      <vt:lpstr>110.9月</vt:lpstr>
      <vt:lpstr>110.8月</vt:lpstr>
      <vt:lpstr>110.7月</vt:lpstr>
      <vt:lpstr>110.6月</vt:lpstr>
      <vt:lpstr>110.5月</vt:lpstr>
      <vt:lpstr>'110.10月'!Print_Area</vt:lpstr>
      <vt:lpstr>'110.11月'!Print_Area</vt:lpstr>
      <vt:lpstr>'110.12月'!Print_Area</vt:lpstr>
      <vt:lpstr>'110.9月'!Print_Area</vt:lpstr>
      <vt:lpstr>'111.01月'!Print_Area</vt:lpstr>
      <vt:lpstr>'111.02月'!Print_Area</vt:lpstr>
      <vt:lpstr>'111.03月'!Print_Area</vt:lpstr>
      <vt:lpstr>'111.04月'!Print_Area</vt:lpstr>
      <vt:lpstr>'111.05月'!Print_Area</vt:lpstr>
      <vt:lpstr>'111.06月'!Print_Area</vt:lpstr>
      <vt:lpstr>'111.07月'!Print_Area</vt:lpstr>
      <vt:lpstr>'111.08月'!Print_Area</vt:lpstr>
      <vt:lpstr>'111.09月'!Print_Area</vt:lpstr>
      <vt:lpstr>'111.10月'!Print_Area</vt:lpstr>
      <vt:lpstr>'111.11月'!Print_Area</vt:lpstr>
      <vt:lpstr>'111.12月'!Print_Area</vt:lpstr>
      <vt:lpstr>'112.01月'!Print_Area</vt:lpstr>
      <vt:lpstr>'112.02月'!Print_Area</vt:lpstr>
      <vt:lpstr>'112.03月'!Print_Area</vt:lpstr>
      <vt:lpstr>'112.04月'!Print_Area</vt:lpstr>
      <vt:lpstr>'112.05月'!Print_Area</vt:lpstr>
      <vt:lpstr>'112.06月'!Print_Area</vt:lpstr>
      <vt:lpstr>'112.07月'!Print_Area</vt:lpstr>
      <vt:lpstr>'112.08月'!Print_Area</vt:lpstr>
      <vt:lpstr>'112.09'!Print_Area</vt:lpstr>
      <vt:lpstr>'112.10'!Print_Area</vt:lpstr>
      <vt:lpstr>'112.11'!Print_Area</vt:lpstr>
      <vt:lpstr>'113.02'!Print_Area</vt:lpstr>
      <vt:lpstr>'113.03'!Print_Area</vt:lpstr>
      <vt:lpstr>'113.07'!Print_Area</vt:lpstr>
      <vt:lpstr>'113.08'!Print_Area</vt:lpstr>
      <vt:lpstr>'113.09'!Print_Area</vt:lpstr>
      <vt:lpstr>'113.10'!Print_Area</vt:lpstr>
      <vt:lpstr>'113.12'!Print_Area</vt:lpstr>
      <vt:lpstr>'114.01'!Print_Area</vt:lpstr>
      <vt:lpstr>'114.02'!Print_Area</vt:lpstr>
      <vt:lpstr>'114.03'!Print_Area</vt:lpstr>
      <vt:lpstr>'114.04'!Print_Area</vt:lpstr>
      <vt:lpstr>'114.05'!Print_Area</vt:lpstr>
      <vt:lpstr>'114.06'!Print_Area</vt:lpstr>
      <vt:lpstr>'114.07'!Print_Area</vt:lpstr>
      <vt:lpstr>'114.08'!Print_Area</vt:lpstr>
      <vt:lpstr>'114.09'!Print_Area</vt:lpstr>
      <vt:lpstr>'114.10'!Print_Area</vt:lpstr>
      <vt:lpstr>'114.11'!Print_Area</vt:lpstr>
      <vt:lpstr>'114.12'!Print_Area</vt:lpstr>
      <vt:lpstr>'115.01'!Print_Area</vt:lpstr>
      <vt:lpstr>'115.02'!Print_Area</vt:lpstr>
      <vt:lpstr>'115.03'!Print_Area</vt:lpstr>
      <vt:lpstr>'111.05月'!Print_Titles</vt:lpstr>
      <vt:lpstr>'111.12月'!Print_Titles</vt:lpstr>
      <vt:lpstr>'112.01月'!Print_Titles</vt:lpstr>
      <vt:lpstr>'112.02月'!Print_Titles</vt:lpstr>
      <vt:lpstr>'112.03月'!Print_Titles</vt:lpstr>
      <vt:lpstr>'112.04月'!Print_Titles</vt:lpstr>
      <vt:lpstr>'112.05月'!Print_Titles</vt:lpstr>
      <vt:lpstr>'112.06月'!Print_Titles</vt:lpstr>
      <vt:lpstr>'112.07月'!Print_Titles</vt:lpstr>
      <vt:lpstr>'112.08月'!Print_Titles</vt:lpstr>
      <vt:lpstr>'112.09'!Print_Titles</vt:lpstr>
      <vt:lpstr>'112.10'!Print_Titles</vt:lpstr>
      <vt:lpstr>'112.11'!Print_Titles</vt:lpstr>
      <vt:lpstr>'112.12'!Print_Titles</vt:lpstr>
      <vt:lpstr>'113.01'!Print_Titles</vt:lpstr>
      <vt:lpstr>'113.02'!Print_Titles</vt:lpstr>
      <vt:lpstr>'113.03'!Print_Titles</vt:lpstr>
      <vt:lpstr>'113.04'!Print_Titles</vt:lpstr>
      <vt:lpstr>'113.05'!Print_Titles</vt:lpstr>
      <vt:lpstr>'113.06'!Print_Titles</vt:lpstr>
      <vt:lpstr>'113.07'!Print_Titles</vt:lpstr>
      <vt:lpstr>'113.08'!Print_Titles</vt:lpstr>
      <vt:lpstr>'113.09'!Print_Titles</vt:lpstr>
      <vt:lpstr>'113.10'!Print_Titles</vt:lpstr>
      <vt:lpstr>'113.12'!Print_Titles</vt:lpstr>
      <vt:lpstr>'114.01'!Print_Titles</vt:lpstr>
      <vt:lpstr>'114.02'!Print_Titles</vt:lpstr>
      <vt:lpstr>'114.03'!Print_Titles</vt:lpstr>
      <vt:lpstr>'114.04'!Print_Titles</vt:lpstr>
      <vt:lpstr>'114.05'!Print_Titles</vt:lpstr>
      <vt:lpstr>'114.06'!Print_Titles</vt:lpstr>
      <vt:lpstr>'114.07'!Print_Titles</vt:lpstr>
      <vt:lpstr>'114.08'!Print_Titles</vt:lpstr>
      <vt:lpstr>'114.09'!Print_Titles</vt:lpstr>
      <vt:lpstr>'114.10'!Print_Titles</vt:lpstr>
      <vt:lpstr>'114.11'!Print_Titles</vt:lpstr>
      <vt:lpstr>'114.12'!Print_Titles</vt:lpstr>
      <vt:lpstr>'115.01'!Print_Titles</vt:lpstr>
      <vt:lpstr>'115.02'!Print_Titles</vt:lpstr>
      <vt:lpstr>'115.03'!Print_Titles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tai14</dc:creator>
  <cp:lastModifiedBy>Pinwen Chen</cp:lastModifiedBy>
  <cp:lastPrinted>2026-04-20T08:11:01Z</cp:lastPrinted>
  <dcterms:created xsi:type="dcterms:W3CDTF">2021-07-11T05:13:42Z</dcterms:created>
  <dcterms:modified xsi:type="dcterms:W3CDTF">2026-04-20T08:18:37Z</dcterms:modified>
</cp:coreProperties>
</file>